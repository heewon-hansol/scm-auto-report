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ustomProperty5.bin" ContentType="application/vnd.openxmlformats-officedocument.spreadsheetml.customProperty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ustomProperty6.bin" ContentType="application/vnd.openxmlformats-officedocument.spreadsheetml.customProperty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ustomProperty7.bin" ContentType="application/vnd.openxmlformats-officedocument.spreadsheetml.customProperty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ansol\Downloads\"/>
    </mc:Choice>
  </mc:AlternateContent>
  <xr:revisionPtr revIDLastSave="0" documentId="13_ncr:1_{17F55A73-5104-4726-A33E-C493592A6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p Trends" sheetId="7" r:id="rId1"/>
    <sheet name="1-3. 산업(내수) - AP류" sheetId="4" state="hidden" r:id="rId2"/>
    <sheet name="내수 - (SC류)" sheetId="5" state="hidden" r:id="rId3"/>
    <sheet name="수출 - (SC류)" sheetId="6" state="hidden" r:id="rId4"/>
    <sheet name="1-4. 패키징(내수)" sheetId="14" state="hidden" r:id="rId5"/>
    <sheet name="패키징(수출)" sheetId="15" state="hidden" r:id="rId6"/>
    <sheet name="새 시트" sheetId="16" state="hidden" r:id="rId7"/>
  </sheets>
  <externalReferences>
    <externalReference r:id="rId8"/>
  </externalReferences>
  <definedNames>
    <definedName name="SAPCrosstab4" localSheetId="2">#REF!</definedName>
    <definedName name="SAPCrosstab4" localSheetId="3">#REF!</definedName>
    <definedName name="SAPCrosstab4">#REF!</definedName>
    <definedName name="SAPCrosstab5" localSheetId="2">#REF!</definedName>
    <definedName name="SAPCrosstab5" localSheetId="3">#REF!</definedName>
    <definedName name="SAPCrosstab5">#REF!</definedName>
    <definedName name="SAPCrosstab6" localSheetId="2">#REF!</definedName>
    <definedName name="SAPCrosstab6" localSheetId="3">#REF!</definedName>
    <definedName name="SAPCrosstab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8" i="6" l="1"/>
  <c r="AA58" i="6"/>
  <c r="X58" i="6"/>
  <c r="U58" i="6"/>
  <c r="R58" i="6"/>
  <c r="O58" i="6"/>
  <c r="L58" i="6"/>
  <c r="I58" i="6"/>
  <c r="F58" i="6"/>
  <c r="AD57" i="6"/>
  <c r="AA57" i="6"/>
  <c r="X57" i="6"/>
  <c r="U57" i="6"/>
  <c r="R57" i="6"/>
  <c r="O57" i="6"/>
  <c r="L57" i="6"/>
  <c r="I57" i="6"/>
  <c r="F57" i="6"/>
  <c r="AD56" i="6"/>
  <c r="AA56" i="6"/>
  <c r="X56" i="6"/>
  <c r="U56" i="6"/>
  <c r="R56" i="6"/>
  <c r="O56" i="6"/>
  <c r="L56" i="6"/>
  <c r="I56" i="6"/>
  <c r="F56" i="6"/>
  <c r="AD55" i="6"/>
  <c r="AA55" i="6"/>
  <c r="X55" i="6"/>
  <c r="U55" i="6"/>
  <c r="R55" i="6"/>
  <c r="O55" i="6"/>
  <c r="L55" i="6"/>
  <c r="I55" i="6"/>
  <c r="F55" i="6"/>
  <c r="AD54" i="6"/>
  <c r="AA54" i="6"/>
  <c r="X54" i="6"/>
  <c r="U54" i="6"/>
  <c r="R54" i="6"/>
  <c r="O54" i="6"/>
  <c r="L54" i="6"/>
  <c r="I54" i="6"/>
  <c r="F54" i="6"/>
  <c r="AD56" i="5"/>
  <c r="AA56" i="5"/>
  <c r="X56" i="5"/>
  <c r="U56" i="5"/>
  <c r="R56" i="5"/>
  <c r="O56" i="5"/>
  <c r="L56" i="5"/>
  <c r="I56" i="5"/>
  <c r="F56" i="5"/>
  <c r="AD55" i="5"/>
  <c r="AA55" i="5"/>
  <c r="X55" i="5"/>
  <c r="U55" i="5"/>
  <c r="R55" i="5"/>
  <c r="O55" i="5"/>
  <c r="L55" i="5"/>
  <c r="I55" i="5"/>
  <c r="F55" i="5"/>
  <c r="AD54" i="5"/>
  <c r="AA54" i="5"/>
  <c r="X54" i="5"/>
  <c r="U54" i="5"/>
  <c r="R54" i="5"/>
  <c r="O54" i="5"/>
  <c r="L54" i="5"/>
  <c r="I54" i="5"/>
  <c r="F54" i="5"/>
  <c r="AD53" i="5"/>
  <c r="AA53" i="5"/>
  <c r="X53" i="5"/>
  <c r="U53" i="5"/>
  <c r="R53" i="5"/>
  <c r="O53" i="5"/>
  <c r="L53" i="5"/>
  <c r="I53" i="5"/>
  <c r="F53" i="5"/>
  <c r="AD52" i="5"/>
  <c r="AA52" i="5"/>
  <c r="X52" i="5"/>
  <c r="U52" i="5"/>
  <c r="R52" i="5"/>
  <c r="O52" i="5"/>
  <c r="L52" i="5"/>
  <c r="I52" i="5"/>
  <c r="F52" i="5"/>
  <c r="AD48" i="4"/>
  <c r="AA48" i="4"/>
  <c r="X48" i="4"/>
  <c r="U48" i="4"/>
  <c r="R48" i="4"/>
  <c r="O48" i="4"/>
  <c r="L48" i="4"/>
  <c r="I48" i="4"/>
  <c r="F48" i="4"/>
  <c r="AD47" i="4"/>
  <c r="AA47" i="4"/>
  <c r="X47" i="4"/>
  <c r="U47" i="4"/>
  <c r="R47" i="4"/>
  <c r="O47" i="4"/>
  <c r="L47" i="4"/>
  <c r="I47" i="4"/>
  <c r="F47" i="4"/>
  <c r="J298" i="7"/>
  <c r="I298" i="7"/>
</calcChain>
</file>

<file path=xl/sharedStrings.xml><?xml version="1.0" encoding="utf-8"?>
<sst xmlns="http://schemas.openxmlformats.org/spreadsheetml/2006/main" count="1078" uniqueCount="491">
  <si>
    <t>3월</t>
  </si>
  <si>
    <t>AP류</t>
  </si>
  <si>
    <t>4월</t>
  </si>
  <si>
    <t>단위/(천원)
Gap</t>
    <phoneticPr fontId="3" type="noConversion"/>
  </si>
  <si>
    <t>21년</t>
    <phoneticPr fontId="3" type="noConversion"/>
  </si>
  <si>
    <t>17년</t>
    <phoneticPr fontId="3" type="noConversion"/>
  </si>
  <si>
    <t>18년</t>
    <phoneticPr fontId="3" type="noConversion"/>
  </si>
  <si>
    <t>19년</t>
    <phoneticPr fontId="3" type="noConversion"/>
  </si>
  <si>
    <t>20년</t>
    <phoneticPr fontId="3" type="noConversion"/>
  </si>
  <si>
    <t>21년
경영</t>
    <phoneticPr fontId="3" type="noConversion"/>
  </si>
  <si>
    <t>1월</t>
    <phoneticPr fontId="3" type="noConversion"/>
  </si>
  <si>
    <t>2월</t>
    <phoneticPr fontId="3" type="noConversion"/>
  </si>
  <si>
    <t>단위/(천원)</t>
    <phoneticPr fontId="3" type="noConversion"/>
  </si>
  <si>
    <t>3월</t>
    <phoneticPr fontId="3" type="noConversion"/>
  </si>
  <si>
    <t>1월</t>
    <phoneticPr fontId="3" type="noConversion"/>
  </si>
  <si>
    <t>2월</t>
    <phoneticPr fontId="3" type="noConversion"/>
  </si>
  <si>
    <t>4월</t>
    <phoneticPr fontId="3" type="noConversion"/>
  </si>
  <si>
    <t>판매가
(a)</t>
    <phoneticPr fontId="3" type="noConversion"/>
  </si>
  <si>
    <t>Gap
(a-b)</t>
    <phoneticPr fontId="3" type="noConversion"/>
  </si>
  <si>
    <t xml:space="preserve"> 판매가
(a)</t>
    <phoneticPr fontId="3" type="noConversion"/>
  </si>
  <si>
    <t>고지가
(b)</t>
    <phoneticPr fontId="3" type="noConversion"/>
  </si>
  <si>
    <t>SC류</t>
  </si>
  <si>
    <t>SC류(고)</t>
    <phoneticPr fontId="3" type="noConversion"/>
  </si>
  <si>
    <t>합계</t>
    <phoneticPr fontId="3" type="noConversion"/>
  </si>
  <si>
    <t>IV류</t>
  </si>
  <si>
    <t>월평균</t>
    <phoneticPr fontId="3" type="noConversion"/>
  </si>
  <si>
    <t>SC류(저)</t>
    <phoneticPr fontId="3" type="noConversion"/>
  </si>
  <si>
    <t>17년 평균</t>
    <phoneticPr fontId="3" type="noConversion"/>
  </si>
  <si>
    <t>펄프가
(b)</t>
    <phoneticPr fontId="3" type="noConversion"/>
  </si>
  <si>
    <t>AP류 소계</t>
  </si>
  <si>
    <t>SC류 소계</t>
    <phoneticPr fontId="3" type="noConversion"/>
  </si>
  <si>
    <t>17년</t>
    <phoneticPr fontId="3" type="noConversion"/>
  </si>
  <si>
    <t>21년 경영</t>
    <phoneticPr fontId="3" type="noConversion"/>
  </si>
  <si>
    <t>12월</t>
  </si>
  <si>
    <t>21.1월</t>
    <phoneticPr fontId="3" type="noConversion"/>
  </si>
  <si>
    <t>21년</t>
    <phoneticPr fontId="3" type="noConversion"/>
  </si>
  <si>
    <t>Gap</t>
    <phoneticPr fontId="3" type="noConversion"/>
  </si>
  <si>
    <t>3월</t>
    <phoneticPr fontId="3" type="noConversion"/>
  </si>
  <si>
    <t>18년 평균</t>
    <phoneticPr fontId="3" type="noConversion"/>
  </si>
  <si>
    <t>19년 평균</t>
    <phoneticPr fontId="3" type="noConversion"/>
  </si>
  <si>
    <t>20년 평균</t>
    <phoneticPr fontId="3" type="noConversion"/>
  </si>
  <si>
    <t>21년 경영 평균</t>
    <phoneticPr fontId="3" type="noConversion"/>
  </si>
  <si>
    <t>3월</t>
    <phoneticPr fontId="3" type="noConversion"/>
  </si>
  <si>
    <t>Gap
(a-b)</t>
    <phoneticPr fontId="3" type="noConversion"/>
  </si>
  <si>
    <t xml:space="preserve"> 판매가(a)</t>
    <phoneticPr fontId="3" type="noConversion"/>
  </si>
  <si>
    <t>펄프가(b)</t>
    <phoneticPr fontId="3" type="noConversion"/>
  </si>
  <si>
    <t xml:space="preserve"> 판매가(a)</t>
    <phoneticPr fontId="3" type="noConversion"/>
  </si>
  <si>
    <t xml:space="preserve"> 판매가
(a)</t>
    <phoneticPr fontId="3" type="noConversion"/>
  </si>
  <si>
    <t>펄프가
(b)</t>
    <phoneticPr fontId="3" type="noConversion"/>
  </si>
  <si>
    <t>20년 평균</t>
    <phoneticPr fontId="3" type="noConversion"/>
  </si>
  <si>
    <t>판매가
(a)</t>
    <phoneticPr fontId="3" type="noConversion"/>
  </si>
  <si>
    <t>고지가
(b)</t>
    <phoneticPr fontId="3" type="noConversion"/>
  </si>
  <si>
    <t xml:space="preserve"> 판매가
(a)</t>
    <phoneticPr fontId="3" type="noConversion"/>
  </si>
  <si>
    <t>Gap
(a-b)</t>
    <phoneticPr fontId="3" type="noConversion"/>
  </si>
  <si>
    <t>SC류</t>
    <phoneticPr fontId="3" type="noConversion"/>
  </si>
  <si>
    <t>SC류 소계</t>
    <phoneticPr fontId="3" type="noConversion"/>
  </si>
  <si>
    <t>1. 내수</t>
    <phoneticPr fontId="3" type="noConversion"/>
  </si>
  <si>
    <t>21년 경영</t>
    <phoneticPr fontId="3" type="noConversion"/>
  </si>
  <si>
    <t>3월</t>
    <phoneticPr fontId="3" type="noConversion"/>
  </si>
  <si>
    <t>SC류</t>
    <phoneticPr fontId="3" type="noConversion"/>
  </si>
  <si>
    <t>17년</t>
    <phoneticPr fontId="3" type="noConversion"/>
  </si>
  <si>
    <t>18년</t>
    <phoneticPr fontId="3" type="noConversion"/>
  </si>
  <si>
    <t>20년</t>
    <phoneticPr fontId="3" type="noConversion"/>
  </si>
  <si>
    <t>2월</t>
    <phoneticPr fontId="3" type="noConversion"/>
  </si>
  <si>
    <t>판매가</t>
    <phoneticPr fontId="3" type="noConversion"/>
  </si>
  <si>
    <t>월평균</t>
    <phoneticPr fontId="3" type="noConversion"/>
  </si>
  <si>
    <t>19년</t>
    <phoneticPr fontId="3" type="noConversion"/>
  </si>
  <si>
    <t>1월</t>
    <phoneticPr fontId="3" type="noConversion"/>
  </si>
  <si>
    <t>단위/(천원)
Gap</t>
    <phoneticPr fontId="3" type="noConversion"/>
  </si>
  <si>
    <t>20년</t>
    <phoneticPr fontId="3" type="noConversion"/>
  </si>
  <si>
    <t>21년
경영</t>
    <phoneticPr fontId="3" type="noConversion"/>
  </si>
  <si>
    <t>SC류(고)</t>
    <phoneticPr fontId="3" type="noConversion"/>
  </si>
  <si>
    <t>SC류 소계</t>
    <phoneticPr fontId="3" type="noConversion"/>
  </si>
  <si>
    <t>고지가</t>
    <phoneticPr fontId="3" type="noConversion"/>
  </si>
  <si>
    <t>Gap</t>
    <phoneticPr fontId="3" type="noConversion"/>
  </si>
  <si>
    <t>17년 평균</t>
    <phoneticPr fontId="3" type="noConversion"/>
  </si>
  <si>
    <t>19년 평균</t>
    <phoneticPr fontId="3" type="noConversion"/>
  </si>
  <si>
    <t>1월</t>
    <phoneticPr fontId="3" type="noConversion"/>
  </si>
  <si>
    <t>2월</t>
    <phoneticPr fontId="3" type="noConversion"/>
  </si>
  <si>
    <t>SC류</t>
    <phoneticPr fontId="3" type="noConversion"/>
  </si>
  <si>
    <t>18년 평균</t>
    <phoneticPr fontId="3" type="noConversion"/>
  </si>
  <si>
    <t>판매가
(a)</t>
    <phoneticPr fontId="3" type="noConversion"/>
  </si>
  <si>
    <t>Gap
(a-b)</t>
    <phoneticPr fontId="3" type="noConversion"/>
  </si>
  <si>
    <t>고지가
(b)</t>
    <phoneticPr fontId="3" type="noConversion"/>
  </si>
  <si>
    <t>고지가
(b)</t>
    <phoneticPr fontId="3" type="noConversion"/>
  </si>
  <si>
    <t xml:space="preserve"> 판매가
(a)</t>
    <phoneticPr fontId="3" type="noConversion"/>
  </si>
  <si>
    <t>SC류(저)</t>
    <phoneticPr fontId="3" type="noConversion"/>
  </si>
  <si>
    <t>4월</t>
    <phoneticPr fontId="3" type="noConversion"/>
  </si>
  <si>
    <t>2. 수출</t>
    <phoneticPr fontId="3" type="noConversion"/>
  </si>
  <si>
    <t>5월</t>
  </si>
  <si>
    <t>5월</t>
    <phoneticPr fontId="3" type="noConversion"/>
  </si>
  <si>
    <t>21년</t>
  </si>
  <si>
    <t>17년</t>
  </si>
  <si>
    <t>18년</t>
  </si>
  <si>
    <t>20년</t>
  </si>
  <si>
    <t>21년 경영</t>
  </si>
  <si>
    <t>1월</t>
  </si>
  <si>
    <t>2월</t>
  </si>
  <si>
    <t>펄프가</t>
  </si>
  <si>
    <t>판매가</t>
  </si>
  <si>
    <t>Gap</t>
  </si>
  <si>
    <t>2. 수출</t>
    <phoneticPr fontId="3" type="noConversion"/>
  </si>
  <si>
    <t>1-3. 산업부문 펄프가 (AP류)</t>
    <phoneticPr fontId="3" type="noConversion"/>
  </si>
  <si>
    <t>※ SC류(저) : 평량 260g 이하 제품</t>
    <phoneticPr fontId="3" type="noConversion"/>
  </si>
  <si>
    <t>1-3. 산업부문 고지가 (SC류)</t>
    <phoneticPr fontId="3" type="noConversion"/>
  </si>
  <si>
    <t>1-4. 패키징부문 펄프가</t>
    <phoneticPr fontId="3" type="noConversion"/>
  </si>
  <si>
    <t>월평균</t>
    <phoneticPr fontId="3" type="noConversion"/>
  </si>
  <si>
    <t>21년</t>
    <phoneticPr fontId="3" type="noConversion"/>
  </si>
  <si>
    <t>17년</t>
    <phoneticPr fontId="3" type="noConversion"/>
  </si>
  <si>
    <t>18년</t>
    <phoneticPr fontId="3" type="noConversion"/>
  </si>
  <si>
    <t>21년
경영</t>
    <phoneticPr fontId="3" type="noConversion"/>
  </si>
  <si>
    <t>1월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</si>
  <si>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</si>
  <si>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</si>
  <si>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</si>
  <si>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</si>
  <si>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Protego</t>
  </si>
  <si>
    <t>기능지류</t>
  </si>
  <si>
    <t>전사지류</t>
  </si>
  <si>
    <t>팬시지류</t>
    <phoneticPr fontId="3" type="noConversion"/>
  </si>
  <si>
    <t>러프그로스지</t>
    <phoneticPr fontId="3" type="noConversion"/>
  </si>
  <si>
    <t>합계</t>
    <phoneticPr fontId="3" type="noConversion"/>
  </si>
  <si>
    <t>19년</t>
  </si>
  <si>
    <t>○ 21년 05월 펄프가 513 천원, 판가 Gap 1,583 천원</t>
    <phoneticPr fontId="3" type="noConversion"/>
  </si>
  <si>
    <t>1. 수출</t>
    <phoneticPr fontId="3" type="noConversion"/>
  </si>
  <si>
    <t>팬시지류</t>
    <phoneticPr fontId="3" type="noConversion"/>
  </si>
  <si>
    <t>러프그로스지</t>
    <phoneticPr fontId="3" type="noConversion"/>
  </si>
  <si>
    <t>6월</t>
  </si>
  <si>
    <t>7월</t>
  </si>
  <si>
    <t>○ 21년 07월 고지가 231 천원, 판가 Gap 457 천원</t>
    <phoneticPr fontId="3" type="noConversion"/>
  </si>
  <si>
    <t>6월</t>
    <phoneticPr fontId="3" type="noConversion"/>
  </si>
  <si>
    <t>7월</t>
    <phoneticPr fontId="3" type="noConversion"/>
  </si>
  <si>
    <t>○ 21년 07월 펄프가 604 천원, 판가 Gap 1,446 천원</t>
    <phoneticPr fontId="3" type="noConversion"/>
  </si>
  <si>
    <t>○ 21년 07월 펄프가 664 천원, 판가 Gap 914 천원</t>
    <phoneticPr fontId="3" type="noConversion"/>
  </si>
  <si>
    <t>고지가</t>
  </si>
  <si>
    <t>1-1. 인쇄부문 펄프가</t>
    <phoneticPr fontId="3" type="noConversion"/>
  </si>
  <si>
    <t xml:space="preserve">19년 </t>
  </si>
  <si>
    <t>패키징수출</t>
  </si>
  <si>
    <t>SC류 소계</t>
    <phoneticPr fontId="3" type="noConversion"/>
  </si>
  <si>
    <t>단위/(천원)
Gap</t>
    <phoneticPr fontId="3" type="noConversion"/>
  </si>
  <si>
    <t>월평균</t>
    <phoneticPr fontId="3" type="noConversion"/>
  </si>
  <si>
    <t>19년</t>
    <phoneticPr fontId="3" type="noConversion"/>
  </si>
  <si>
    <t>일반백상</t>
    <phoneticPr fontId="3" type="noConversion"/>
  </si>
  <si>
    <t>일반아트</t>
    <phoneticPr fontId="3" type="noConversion"/>
  </si>
  <si>
    <t>부문 합계</t>
    <phoneticPr fontId="3" type="noConversion"/>
  </si>
  <si>
    <t>일반백상</t>
    <phoneticPr fontId="3" type="noConversion"/>
  </si>
  <si>
    <t>POS</t>
    <phoneticPr fontId="3" type="noConversion"/>
  </si>
  <si>
    <t>일감라벨</t>
    <phoneticPr fontId="3" type="noConversion"/>
  </si>
  <si>
    <t>1-4. 패키징부문 펄프가</t>
    <phoneticPr fontId="3" type="noConversion"/>
  </si>
  <si>
    <t>합계</t>
    <phoneticPr fontId="3" type="noConversion"/>
  </si>
  <si>
    <t>1-4. 패키징부문 펄프가</t>
    <phoneticPr fontId="3" type="noConversion"/>
  </si>
  <si>
    <t>1. 수출</t>
    <phoneticPr fontId="3" type="noConversion"/>
  </si>
  <si>
    <t>22년</t>
  </si>
  <si>
    <t>인쇄</t>
  </si>
  <si>
    <t>23년</t>
    <phoneticPr fontId="3" type="noConversion"/>
  </si>
  <si>
    <t>18년</t>
    <phoneticPr fontId="3" type="noConversion"/>
  </si>
  <si>
    <t>22년</t>
    <phoneticPr fontId="3" type="noConversion"/>
  </si>
  <si>
    <t>22년</t>
    <phoneticPr fontId="3" type="noConversion"/>
  </si>
  <si>
    <t>17년</t>
    <phoneticPr fontId="3" type="noConversion"/>
  </si>
  <si>
    <t>20년</t>
    <phoneticPr fontId="3" type="noConversion"/>
  </si>
  <si>
    <t>21년</t>
    <phoneticPr fontId="3" type="noConversion"/>
  </si>
  <si>
    <t>1. 내수</t>
    <phoneticPr fontId="3" type="noConversion"/>
  </si>
  <si>
    <t>월평균</t>
    <phoneticPr fontId="3" type="noConversion"/>
  </si>
  <si>
    <t>17년</t>
    <phoneticPr fontId="3" type="noConversion"/>
  </si>
  <si>
    <t>※ SC류(저) : 평량 260g 이하 제품</t>
    <phoneticPr fontId="3" type="noConversion"/>
  </si>
  <si>
    <t>펄프가</t>
    <phoneticPr fontId="3" type="noConversion"/>
  </si>
  <si>
    <t>1. 내수</t>
    <phoneticPr fontId="3" type="noConversion"/>
  </si>
  <si>
    <t>SC류(고)</t>
    <phoneticPr fontId="3" type="noConversion"/>
  </si>
  <si>
    <t>SC류(저)</t>
    <phoneticPr fontId="3" type="noConversion"/>
  </si>
  <si>
    <t>단위/(천원)
Gap</t>
    <phoneticPr fontId="3" type="noConversion"/>
  </si>
  <si>
    <t>22년</t>
    <phoneticPr fontId="3" type="noConversion"/>
  </si>
  <si>
    <t>17년</t>
    <phoneticPr fontId="3" type="noConversion"/>
  </si>
  <si>
    <t>19년</t>
    <phoneticPr fontId="3" type="noConversion"/>
  </si>
  <si>
    <t>SC류</t>
    <phoneticPr fontId="3" type="noConversion"/>
  </si>
  <si>
    <t>월평균</t>
    <phoneticPr fontId="3" type="noConversion"/>
  </si>
  <si>
    <t>18년</t>
    <phoneticPr fontId="3" type="noConversion"/>
  </si>
  <si>
    <t>20년</t>
    <phoneticPr fontId="3" type="noConversion"/>
  </si>
  <si>
    <t>21년</t>
    <phoneticPr fontId="3" type="noConversion"/>
  </si>
  <si>
    <t>SC류(고)</t>
    <phoneticPr fontId="3" type="noConversion"/>
  </si>
  <si>
    <t>SC류(저)</t>
    <phoneticPr fontId="3" type="noConversion"/>
  </si>
  <si>
    <t>SC류 소계</t>
    <phoneticPr fontId="3" type="noConversion"/>
  </si>
  <si>
    <t>8월</t>
  </si>
  <si>
    <t>9월</t>
  </si>
  <si>
    <t>10월</t>
  </si>
  <si>
    <t>11월</t>
  </si>
  <si>
    <t>24년</t>
    <phoneticPr fontId="3" type="noConversion"/>
  </si>
  <si>
    <t>23년</t>
  </si>
  <si>
    <t>경영계획</t>
    <phoneticPr fontId="3" type="noConversion"/>
  </si>
  <si>
    <t>단위/(천원)
Gap</t>
    <phoneticPr fontId="3" type="noConversion"/>
  </si>
  <si>
    <t>감열</t>
    <phoneticPr fontId="3" type="noConversion"/>
  </si>
  <si>
    <t>23년</t>
    <phoneticPr fontId="3" type="noConversion"/>
  </si>
  <si>
    <t>23년</t>
    <phoneticPr fontId="3" type="noConversion"/>
  </si>
  <si>
    <t>1. POS영업팀 내수</t>
    <phoneticPr fontId="3" type="noConversion"/>
  </si>
  <si>
    <t>2. POS영업팀 수출</t>
    <phoneticPr fontId="3" type="noConversion"/>
  </si>
  <si>
    <t>1-2. 감열부문 펄프가</t>
    <phoneticPr fontId="3" type="noConversion"/>
  </si>
  <si>
    <t>1. 내수</t>
    <phoneticPr fontId="3" type="noConversion"/>
  </si>
  <si>
    <t>단위/(천원)
Gap</t>
    <phoneticPr fontId="3" type="noConversion"/>
  </si>
  <si>
    <t>22년</t>
    <phoneticPr fontId="3" type="noConversion"/>
  </si>
  <si>
    <t>POS</t>
    <phoneticPr fontId="3" type="noConversion"/>
  </si>
  <si>
    <t>일감라벨</t>
    <phoneticPr fontId="3" type="noConversion"/>
  </si>
  <si>
    <t>부문 합계</t>
    <phoneticPr fontId="3" type="noConversion"/>
  </si>
  <si>
    <t>1-3. 감열부문 펄프가 (POS영업팀)</t>
    <phoneticPr fontId="3" type="noConversion"/>
  </si>
  <si>
    <t>1. 라벨영업팀 내수</t>
    <phoneticPr fontId="3" type="noConversion"/>
  </si>
  <si>
    <t>4. 라벨영업팀 수출</t>
    <phoneticPr fontId="3" type="noConversion"/>
  </si>
  <si>
    <t>1-4. 감열부문 펄프가 (라벨영업팀)</t>
    <phoneticPr fontId="3" type="noConversion"/>
  </si>
  <si>
    <t>패키징내수</t>
  </si>
  <si>
    <t>단위/(천원)
Gap</t>
    <phoneticPr fontId="3" type="noConversion"/>
  </si>
  <si>
    <t>월평균</t>
    <phoneticPr fontId="3" type="noConversion"/>
  </si>
  <si>
    <t>17년</t>
    <phoneticPr fontId="3" type="noConversion"/>
  </si>
  <si>
    <t>18년</t>
    <phoneticPr fontId="3" type="noConversion"/>
  </si>
  <si>
    <t>20년</t>
    <phoneticPr fontId="3" type="noConversion"/>
  </si>
  <si>
    <t>21년</t>
    <phoneticPr fontId="3" type="noConversion"/>
  </si>
  <si>
    <t>특감라벨</t>
    <phoneticPr fontId="3" type="noConversion"/>
  </si>
  <si>
    <t>22년</t>
    <phoneticPr fontId="3" type="noConversion"/>
  </si>
  <si>
    <t>5월</t>
    <phoneticPr fontId="3" type="noConversion"/>
  </si>
  <si>
    <t>1. 내수(Protego 제외)</t>
    <phoneticPr fontId="3" type="noConversion"/>
  </si>
  <si>
    <t>단위/(천원)
Gap</t>
    <phoneticPr fontId="3" type="noConversion"/>
  </si>
  <si>
    <t>팬시지류</t>
    <phoneticPr fontId="3" type="noConversion"/>
  </si>
  <si>
    <t>러프그로스지</t>
    <phoneticPr fontId="3" type="noConversion"/>
  </si>
  <si>
    <t>합계</t>
    <phoneticPr fontId="3" type="noConversion"/>
  </si>
  <si>
    <t>프로테고 X</t>
  </si>
  <si>
    <t>1. 내수(Protego 포함)</t>
    <phoneticPr fontId="3" type="noConversion"/>
  </si>
  <si>
    <t>6월</t>
    <phoneticPr fontId="3" type="noConversion"/>
  </si>
  <si>
    <t>단위/(천원)
Gap</t>
    <phoneticPr fontId="3" type="noConversion"/>
  </si>
  <si>
    <t>3월</t>
    <phoneticPr fontId="3" type="noConversion"/>
  </si>
  <si>
    <t>1월</t>
    <phoneticPr fontId="3" type="noConversion"/>
  </si>
  <si>
    <t>팬시지류</t>
    <phoneticPr fontId="3" type="noConversion"/>
  </si>
  <si>
    <t>러프그로스지</t>
    <phoneticPr fontId="3" type="noConversion"/>
  </si>
  <si>
    <t>17년</t>
    <phoneticPr fontId="3" type="noConversion"/>
  </si>
  <si>
    <t>18년</t>
    <phoneticPr fontId="3" type="noConversion"/>
  </si>
  <si>
    <t>20년</t>
    <phoneticPr fontId="3" type="noConversion"/>
  </si>
  <si>
    <t>22년</t>
    <phoneticPr fontId="3" type="noConversion"/>
  </si>
  <si>
    <t>23년</t>
    <phoneticPr fontId="3" type="noConversion"/>
  </si>
  <si>
    <t>판매가</t>
    <phoneticPr fontId="3" type="noConversion"/>
  </si>
  <si>
    <t>Gap</t>
    <phoneticPr fontId="3" type="noConversion"/>
  </si>
  <si>
    <t>21년</t>
    <phoneticPr fontId="3" type="noConversion"/>
  </si>
  <si>
    <t>22년</t>
    <phoneticPr fontId="3" type="noConversion"/>
  </si>
  <si>
    <t>22년</t>
    <phoneticPr fontId="3" type="noConversion"/>
  </si>
  <si>
    <t>23년</t>
    <phoneticPr fontId="3" type="noConversion"/>
  </si>
  <si>
    <t>8월</t>
    <phoneticPr fontId="3" type="noConversion"/>
  </si>
  <si>
    <t>9월</t>
    <phoneticPr fontId="3" type="noConversion"/>
  </si>
  <si>
    <t>24년</t>
    <phoneticPr fontId="3" type="noConversion"/>
  </si>
  <si>
    <t>25년
경영계획</t>
    <phoneticPr fontId="3" type="noConversion"/>
  </si>
  <si>
    <t>25년</t>
    <phoneticPr fontId="3" type="noConversion"/>
  </si>
  <si>
    <t>1월</t>
    <phoneticPr fontId="3" type="noConversion"/>
  </si>
  <si>
    <t>25.1월</t>
    <phoneticPr fontId="3" type="noConversion"/>
  </si>
  <si>
    <t>25.1월</t>
    <phoneticPr fontId="3" type="noConversion"/>
  </si>
  <si>
    <t>경영계획</t>
    <phoneticPr fontId="3" type="noConversion"/>
  </si>
  <si>
    <t>25.01월</t>
    <phoneticPr fontId="3" type="noConversion"/>
  </si>
  <si>
    <t>25.1월</t>
    <phoneticPr fontId="3" type="noConversion"/>
  </si>
  <si>
    <t>24년</t>
    <phoneticPr fontId="3" type="noConversion"/>
  </si>
  <si>
    <t>24년</t>
    <phoneticPr fontId="3" type="noConversion"/>
  </si>
  <si>
    <t>24년</t>
    <phoneticPr fontId="3" type="noConversion"/>
  </si>
  <si>
    <t>24년</t>
    <phoneticPr fontId="3" type="noConversion"/>
  </si>
  <si>
    <t>24년</t>
    <phoneticPr fontId="3" type="noConversion"/>
  </si>
  <si>
    <t>2월</t>
    <phoneticPr fontId="3" type="noConversion"/>
  </si>
  <si>
    <t>2월</t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</si>
  <si>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</si>
  <si>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</si>
  <si>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</si>
  <si>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</si>
  <si>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</si>
  <si>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</si>
  <si>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</si>
  <si>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</si>
  <si>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</si>
  <si>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</si>
  <si>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</si>
  <si>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</si>
  <si>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</si>
  <si>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</si>
  <si>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</si>
  <si>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</si>
  <si>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</si>
  <si>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18년</t>
    <phoneticPr fontId="3" type="noConversion"/>
  </si>
  <si>
    <r>
      <t>23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</si>
  <si>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t>24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</si>
  <si>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t>25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</si>
  <si>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rPr>
        <b/>
        <sz val="12"/>
        <rFont val="맑은 고딕"/>
        <family val="3"/>
        <charset val="129"/>
      </rPr>
      <t>경영계획</t>
    </r>
    <phoneticPr fontId="3" type="noConversion"/>
  </si>
  <si>
    <r>
      <t>24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</si>
  <si>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t>단위/(천원)
Gap</t>
    <phoneticPr fontId="3" type="noConversion"/>
  </si>
  <si>
    <t>18년</t>
    <phoneticPr fontId="3" type="noConversion"/>
  </si>
  <si>
    <t>19년</t>
    <phoneticPr fontId="3" type="noConversion"/>
  </si>
  <si>
    <t>22년</t>
    <phoneticPr fontId="3" type="noConversion"/>
  </si>
  <si>
    <r>
      <t>23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</si>
  <si>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t>24</t>
    </r>
    <r>
      <rPr>
        <b/>
        <sz val="12"/>
        <rFont val="맑은 고딕"/>
        <family val="3"/>
        <charset val="129"/>
      </rPr>
      <t>년</t>
    </r>
    <phoneticPr fontId="3" type="noConversion"/>
  </si>
  <si>
    <t>17년</t>
    <phoneticPr fontId="3" type="noConversion"/>
  </si>
  <si>
    <t>21년</t>
    <phoneticPr fontId="3" type="noConversion"/>
  </si>
  <si>
    <r>
      <t>23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</si>
  <si>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t>24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</si>
  <si>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t>24</t>
    </r>
    <r>
      <rPr>
        <b/>
        <sz val="12"/>
        <rFont val="맑은 고딕"/>
        <family val="3"/>
        <charset val="129"/>
      </rPr>
      <t>년</t>
    </r>
    <phoneticPr fontId="3" type="noConversion"/>
  </si>
  <si>
    <t>월평균</t>
    <phoneticPr fontId="3" type="noConversion"/>
  </si>
  <si>
    <t>19년</t>
    <phoneticPr fontId="3" type="noConversion"/>
  </si>
  <si>
    <t>21년</t>
    <phoneticPr fontId="3" type="noConversion"/>
  </si>
  <si>
    <t>22년</t>
    <phoneticPr fontId="3" type="noConversion"/>
  </si>
  <si>
    <t>20년</t>
    <phoneticPr fontId="3" type="noConversion"/>
  </si>
  <si>
    <r>
      <t>23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</si>
  <si>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t>24</t>
    </r>
    <r>
      <rPr>
        <b/>
        <sz val="12"/>
        <rFont val="맑은 고딕"/>
        <family val="3"/>
        <charset val="129"/>
      </rPr>
      <t>년</t>
    </r>
    <phoneticPr fontId="3" type="noConversion"/>
  </si>
  <si>
    <t>월평균</t>
    <phoneticPr fontId="3" type="noConversion"/>
  </si>
  <si>
    <t>17년</t>
    <phoneticPr fontId="3" type="noConversion"/>
  </si>
  <si>
    <t>18년</t>
    <phoneticPr fontId="3" type="noConversion"/>
  </si>
  <si>
    <t>20년</t>
    <phoneticPr fontId="3" type="noConversion"/>
  </si>
  <si>
    <t>21년</t>
    <phoneticPr fontId="3" type="noConversion"/>
  </si>
  <si>
    <t>22년</t>
    <phoneticPr fontId="3" type="noConversion"/>
  </si>
  <si>
    <r>
      <t>24</t>
    </r>
    <r>
      <rPr>
        <b/>
        <sz val="12"/>
        <rFont val="맑은 고딕"/>
        <family val="3"/>
        <charset val="129"/>
      </rPr>
      <t>년</t>
    </r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</si>
  <si>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</si>
  <si>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</si>
  <si>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</si>
  <si>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</si>
  <si>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</si>
  <si>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</si>
  <si>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※ 25년 SC류(저) : 평량 280g 이하 제품  [ ~24년까지는 평량 260g 이하 제품임 ]</t>
  </si>
  <si>
    <t>7월</t>
    <phoneticPr fontId="3" type="noConversion"/>
  </si>
  <si>
    <t>7월</t>
    <phoneticPr fontId="3" type="noConversion"/>
  </si>
  <si>
    <t>7월</t>
    <phoneticPr fontId="3" type="noConversion"/>
  </si>
  <si>
    <t>7월</t>
    <phoneticPr fontId="3" type="noConversion"/>
  </si>
  <si>
    <t>7월</t>
    <phoneticPr fontId="3" type="noConversion"/>
  </si>
  <si>
    <t>7월</t>
    <phoneticPr fontId="3" type="noConversion"/>
  </si>
  <si>
    <t>8월</t>
    <phoneticPr fontId="3" type="noConversion"/>
  </si>
  <si>
    <t>8월</t>
    <phoneticPr fontId="3" type="noConversion"/>
  </si>
  <si>
    <t>8월</t>
    <phoneticPr fontId="3" type="noConversion"/>
  </si>
  <si>
    <t>8월</t>
    <phoneticPr fontId="3" type="noConversion"/>
  </si>
  <si>
    <t>8월</t>
    <phoneticPr fontId="3" type="noConversion"/>
  </si>
  <si>
    <t>9월</t>
    <phoneticPr fontId="3" type="noConversion"/>
  </si>
  <si>
    <t>9월</t>
    <phoneticPr fontId="3" type="noConversion"/>
  </si>
  <si>
    <t>9월</t>
    <phoneticPr fontId="3" type="noConversion"/>
  </si>
  <si>
    <t>9월</t>
    <phoneticPr fontId="3" type="noConversion"/>
  </si>
  <si>
    <t>10월</t>
    <phoneticPr fontId="3" type="noConversion"/>
  </si>
  <si>
    <t>10월</t>
    <phoneticPr fontId="3" type="noConversion"/>
  </si>
  <si>
    <t>10월</t>
    <phoneticPr fontId="3" type="noConversion"/>
  </si>
  <si>
    <t>10월</t>
    <phoneticPr fontId="3" type="noConversion"/>
  </si>
  <si>
    <t>10월</t>
    <phoneticPr fontId="3" type="noConversion"/>
  </si>
  <si>
    <t>10월</t>
    <phoneticPr fontId="3" type="noConversion"/>
  </si>
  <si>
    <t>10월</t>
    <phoneticPr fontId="3" type="noConversion"/>
  </si>
  <si>
    <t>10월</t>
    <phoneticPr fontId="3" type="noConversion"/>
  </si>
  <si>
    <t>11월</t>
    <phoneticPr fontId="3" type="noConversion"/>
  </si>
  <si>
    <t>11월</t>
    <phoneticPr fontId="3" type="noConversion"/>
  </si>
  <si>
    <t>11월</t>
    <phoneticPr fontId="3" type="noConversion"/>
  </si>
  <si>
    <t>11월</t>
    <phoneticPr fontId="3" type="noConversion"/>
  </si>
  <si>
    <t>11월</t>
    <phoneticPr fontId="3" type="noConversion"/>
  </si>
  <si>
    <t>12월</t>
    <phoneticPr fontId="3" type="noConversion"/>
  </si>
  <si>
    <t>12월</t>
    <phoneticPr fontId="3" type="noConversion"/>
  </si>
  <si>
    <t>12월</t>
    <phoneticPr fontId="3" type="noConversion"/>
  </si>
  <si>
    <t>12월</t>
    <phoneticPr fontId="3" type="noConversion"/>
  </si>
  <si>
    <t>12월</t>
    <phoneticPr fontId="3" type="noConversion"/>
  </si>
  <si>
    <t>25년</t>
    <phoneticPr fontId="3" type="noConversion"/>
  </si>
  <si>
    <t>25년</t>
    <phoneticPr fontId="3" type="noConversion"/>
  </si>
  <si>
    <t>26년
경영계획</t>
    <phoneticPr fontId="3" type="noConversion"/>
  </si>
  <si>
    <t>26년</t>
    <phoneticPr fontId="3" type="noConversion"/>
  </si>
  <si>
    <t>1월</t>
    <phoneticPr fontId="3" type="noConversion"/>
  </si>
  <si>
    <t>26년 경영계획</t>
    <phoneticPr fontId="3" type="noConversion"/>
  </si>
  <si>
    <t>26년</t>
    <phoneticPr fontId="3" type="noConversion"/>
  </si>
  <si>
    <t>26.1월</t>
    <phoneticPr fontId="3" type="noConversion"/>
  </si>
  <si>
    <r>
      <t>26</t>
    </r>
    <r>
      <rPr>
        <b/>
        <sz val="12"/>
        <rFont val="맑은 고딕"/>
        <family val="3"/>
        <charset val="129"/>
      </rPr>
      <t>년</t>
    </r>
    <phoneticPr fontId="3" type="noConversion"/>
  </si>
  <si>
    <r>
      <t>23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</si>
  <si>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r>
      <t>25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</si>
  <si>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t>25월</t>
    <phoneticPr fontId="3" type="noConversion"/>
  </si>
  <si>
    <t>26년
경영계획</t>
    <phoneticPr fontId="3" type="noConversion"/>
  </si>
  <si>
    <t>26년 경영계획</t>
    <phoneticPr fontId="3" type="noConversion"/>
  </si>
  <si>
    <t>26.1월</t>
    <phoneticPr fontId="3" type="noConversion"/>
  </si>
  <si>
    <t>26년</t>
    <phoneticPr fontId="3" type="noConversion"/>
  </si>
  <si>
    <t>26년</t>
    <phoneticPr fontId="3" type="noConversion"/>
  </si>
  <si>
    <t>25년</t>
    <phoneticPr fontId="3" type="noConversion"/>
  </si>
  <si>
    <t>25년</t>
    <phoneticPr fontId="3" type="noConversion"/>
  </si>
  <si>
    <t>26년 경영계획</t>
    <phoneticPr fontId="3" type="noConversion"/>
  </si>
  <si>
    <t>26.01월</t>
    <phoneticPr fontId="3" type="noConversion"/>
  </si>
  <si>
    <t>26년</t>
    <phoneticPr fontId="3" type="noConversion"/>
  </si>
  <si>
    <t>26년</t>
    <phoneticPr fontId="3" type="noConversion"/>
  </si>
  <si>
    <t>25년</t>
    <phoneticPr fontId="3" type="noConversion"/>
  </si>
  <si>
    <t>26년 경영계획</t>
    <phoneticPr fontId="3" type="noConversion"/>
  </si>
  <si>
    <t>26.01월</t>
    <phoneticPr fontId="3" type="noConversion"/>
  </si>
  <si>
    <r>
      <t>24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</si>
  <si>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t>1월</t>
    <phoneticPr fontId="3" type="noConversion"/>
  </si>
  <si>
    <t>26년</t>
    <phoneticPr fontId="3" type="noConversion"/>
  </si>
  <si>
    <t>26년
경영계획</t>
    <phoneticPr fontId="3" type="noConversion"/>
  </si>
  <si>
    <t>26년 경영</t>
    <phoneticPr fontId="3" type="noConversion"/>
  </si>
  <si>
    <t>26.1월</t>
    <phoneticPr fontId="3" type="noConversion"/>
  </si>
  <si>
    <t>25년</t>
    <phoneticPr fontId="3" type="noConversion"/>
  </si>
  <si>
    <t>26년
경영계획</t>
    <phoneticPr fontId="3" type="noConversion"/>
  </si>
  <si>
    <t>1월</t>
    <phoneticPr fontId="3" type="noConversion"/>
  </si>
  <si>
    <t>26년</t>
    <phoneticPr fontId="3" type="noConversion"/>
  </si>
  <si>
    <t>2월</t>
    <phoneticPr fontId="3" type="noConversion"/>
  </si>
  <si>
    <t>24년</t>
    <phoneticPr fontId="3" type="noConversion"/>
  </si>
  <si>
    <t>24년</t>
    <phoneticPr fontId="3" type="noConversion"/>
  </si>
  <si>
    <t>25년</t>
    <phoneticPr fontId="3" type="noConversion"/>
  </si>
  <si>
    <t>26년 경영계획</t>
    <phoneticPr fontId="3" type="noConversion"/>
  </si>
  <si>
    <t>26.1월</t>
    <phoneticPr fontId="3" type="noConversion"/>
  </si>
  <si>
    <t>월평균</t>
    <phoneticPr fontId="3" type="noConversion"/>
  </si>
  <si>
    <t>17년</t>
    <phoneticPr fontId="3" type="noConversion"/>
  </si>
  <si>
    <t>18년</t>
    <phoneticPr fontId="3" type="noConversion"/>
  </si>
  <si>
    <t>18년</t>
    <phoneticPr fontId="3" type="noConversion"/>
  </si>
  <si>
    <t>19년</t>
    <phoneticPr fontId="3" type="noConversion"/>
  </si>
  <si>
    <t>20년</t>
    <phoneticPr fontId="3" type="noConversion"/>
  </si>
  <si>
    <t>21년</t>
    <phoneticPr fontId="3" type="noConversion"/>
  </si>
  <si>
    <t>22년</t>
    <phoneticPr fontId="3" type="noConversion"/>
  </si>
  <si>
    <t>23년</t>
    <phoneticPr fontId="3" type="noConversion"/>
  </si>
  <si>
    <t>25년</t>
    <phoneticPr fontId="3" type="noConversion"/>
  </si>
  <si>
    <t>26년
경영계획</t>
    <phoneticPr fontId="3" type="noConversion"/>
  </si>
  <si>
    <t>1월</t>
    <phoneticPr fontId="3" type="noConversion"/>
  </si>
  <si>
    <t>21년</t>
    <phoneticPr fontId="3" type="noConversion"/>
  </si>
  <si>
    <t>22년</t>
    <phoneticPr fontId="3" type="noConversion"/>
  </si>
  <si>
    <t>24년</t>
    <phoneticPr fontId="3" type="noConversion"/>
  </si>
  <si>
    <t>26년 경영계획</t>
    <phoneticPr fontId="3" type="noConversion"/>
  </si>
  <si>
    <t>26.1월</t>
    <phoneticPr fontId="3" type="noConversion"/>
  </si>
  <si>
    <t>2월</t>
    <phoneticPr fontId="3" type="noConversion"/>
  </si>
  <si>
    <t>2월</t>
    <phoneticPr fontId="3" type="noConversion"/>
  </si>
  <si>
    <t>2월</t>
    <phoneticPr fontId="3" type="noConversion"/>
  </si>
  <si>
    <t>2월</t>
    <phoneticPr fontId="3" type="noConversion"/>
  </si>
  <si>
    <r>
      <t>25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</si>
  <si>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t>2월</t>
    <phoneticPr fontId="3" type="noConversion"/>
  </si>
  <si>
    <t>2월</t>
    <phoneticPr fontId="3" type="noConversion"/>
  </si>
  <si>
    <t>2월</t>
    <phoneticPr fontId="3" type="noConversion"/>
  </si>
  <si>
    <r>
      <t>25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</si>
  <si>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t>2월</t>
    <phoneticPr fontId="3" type="noConversion"/>
  </si>
  <si>
    <t>2월</t>
    <phoneticPr fontId="3" type="noConversion"/>
  </si>
  <si>
    <t>2월</t>
    <phoneticPr fontId="3" type="noConversion"/>
  </si>
  <si>
    <t>2월</t>
    <phoneticPr fontId="3" type="noConversion"/>
  </si>
  <si>
    <t>2월</t>
    <phoneticPr fontId="3" type="noConversion"/>
  </si>
  <si>
    <t>26.2월</t>
    <phoneticPr fontId="3" type="noConversion"/>
  </si>
  <si>
    <t>26.3월</t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</si>
  <si>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</si>
  <si>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</si>
  <si>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</si>
  <si>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r>
      <t>26</t>
    </r>
    <r>
      <rPr>
        <b/>
        <sz val="8"/>
        <color theme="0"/>
        <rFont val="맑은 고딕"/>
        <family val="3"/>
        <charset val="129"/>
      </rPr>
      <t>년</t>
    </r>
    <r>
      <rPr>
        <b/>
        <sz val="8"/>
        <color theme="0"/>
        <rFont val="Verdana"/>
        <family val="2"/>
      </rPr>
      <t xml:space="preserve"> </t>
    </r>
    <r>
      <rPr>
        <b/>
        <sz val="8"/>
        <color theme="0"/>
        <rFont val="맑은 고딕"/>
        <family val="3"/>
        <charset val="129"/>
      </rPr>
      <t>경영계획</t>
    </r>
    <phoneticPr fontId="3" type="noConversion"/>
  </si>
  <si>
    <t>3월</t>
    <phoneticPr fontId="3" type="noConversion"/>
  </si>
  <si>
    <t>3월</t>
    <phoneticPr fontId="3" type="noConversion"/>
  </si>
  <si>
    <r>
      <t>26</t>
    </r>
    <r>
      <rPr>
        <b/>
        <sz val="8"/>
        <color theme="0"/>
        <rFont val="맑은 고딕"/>
        <family val="3"/>
        <charset val="129"/>
      </rPr>
      <t>년</t>
    </r>
    <r>
      <rPr>
        <b/>
        <sz val="8"/>
        <color theme="0"/>
        <rFont val="Verdana"/>
        <family val="2"/>
      </rPr>
      <t xml:space="preserve"> </t>
    </r>
    <r>
      <rPr>
        <b/>
        <sz val="8"/>
        <color theme="0"/>
        <rFont val="맑은 고딕"/>
        <family val="3"/>
        <charset val="129"/>
      </rPr>
      <t>경영계획</t>
    </r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</si>
  <si>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</si>
  <si>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</si>
  <si>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</si>
  <si>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</si>
  <si>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t>3월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</si>
  <si>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</si>
  <si>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</si>
  <si>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</si>
  <si>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r>
      <t>26.1</t>
    </r>
    <r>
      <rPr>
        <b/>
        <sz val="8"/>
        <color theme="0"/>
        <rFont val="맑은 고딕"/>
        <family val="3"/>
        <charset val="129"/>
      </rPr>
      <t>월</t>
    </r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</si>
  <si>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</si>
  <si>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</si>
  <si>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</si>
  <si>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</si>
  <si>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</si>
  <si>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</si>
  <si>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4월</t>
    <phoneticPr fontId="3" type="noConversion"/>
  </si>
  <si>
    <t>26.4월</t>
    <phoneticPr fontId="3" type="noConversion"/>
  </si>
  <si>
    <t>5월</t>
    <phoneticPr fontId="3" type="noConversion"/>
  </si>
  <si>
    <t>5월</t>
    <phoneticPr fontId="3" type="noConversion"/>
  </si>
  <si>
    <r>
      <t>24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</si>
  <si>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r>
      <t>25</t>
    </r>
    <r>
      <rPr>
        <b/>
        <sz val="8"/>
        <color theme="0"/>
        <rFont val="맑은 고딕"/>
        <family val="3"/>
        <charset val="129"/>
      </rPr>
      <t>년</t>
    </r>
    <phoneticPr fontId="3" type="noConversion"/>
  </si>
  <si>
    <t>5월</t>
    <phoneticPr fontId="3" type="noConversion"/>
  </si>
  <si>
    <r>
      <t>26.1</t>
    </r>
    <r>
      <rPr>
        <b/>
        <sz val="8"/>
        <color theme="0"/>
        <rFont val="맑은 고딕"/>
        <family val="3"/>
        <charset val="129"/>
      </rPr>
      <t>월</t>
    </r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</si>
  <si>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</si>
  <si>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</si>
  <si>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</si>
  <si>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</si>
  <si>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</si>
  <si>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</si>
  <si>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</si>
  <si>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5월</t>
    <phoneticPr fontId="3" type="noConversion"/>
  </si>
  <si>
    <t>26.5월</t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</si>
  <si>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</si>
  <si>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</si>
  <si>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</si>
  <si>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</si>
  <si>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</si>
  <si>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r>
      <t>26.1</t>
    </r>
    <r>
      <rPr>
        <b/>
        <sz val="8"/>
        <color theme="0"/>
        <rFont val="맑은 고딕"/>
        <family val="3"/>
        <charset val="129"/>
      </rPr>
      <t>월</t>
    </r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</si>
  <si>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</si>
  <si>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</si>
  <si>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</si>
  <si>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6월</t>
    <phoneticPr fontId="3" type="noConversion"/>
  </si>
  <si>
    <t>26.6월</t>
    <phoneticPr fontId="3" type="noConversion"/>
  </si>
  <si>
    <t>26.6월</t>
    <phoneticPr fontId="3" type="noConversion"/>
  </si>
  <si>
    <t>26.6월</t>
    <phoneticPr fontId="3" type="noConversion"/>
  </si>
  <si>
    <t>○ 26년 7월 펄프가 528천원, 판가Gap 687천원</t>
    <phoneticPr fontId="3" type="noConversion"/>
  </si>
  <si>
    <t>○ 26년 7월 펄프가 497천원, 판가 Gap 870천원</t>
    <phoneticPr fontId="3" type="noConversion"/>
  </si>
  <si>
    <t>○ 26년 7월 펄프가 822천원, 판가Gap 1,211천원</t>
    <phoneticPr fontId="3" type="noConversion"/>
  </si>
  <si>
    <t>○ 26년 7월 펄프가 660천원, 판가 Gap 1,653천원</t>
    <phoneticPr fontId="3" type="noConversion"/>
  </si>
  <si>
    <t>○ 26년 7월 펄프가 927천원, 판가 Gap 1,238천원</t>
    <phoneticPr fontId="3" type="noConversion"/>
  </si>
  <si>
    <t>○ 26년 7월 펄프가 644천원, 판가 Gap 1,748천원</t>
    <phoneticPr fontId="3" type="noConversion"/>
  </si>
  <si>
    <t>○ 26년 7월 펄프가 768천원, 판가 Gap 1,199천원</t>
    <phoneticPr fontId="3" type="noConversion"/>
  </si>
  <si>
    <t>○ 26년 7월 펄프가 683천원, 판가Gap 1,518천원</t>
    <phoneticPr fontId="3" type="noConversion"/>
  </si>
  <si>
    <t>7월</t>
    <phoneticPr fontId="3" type="noConversion"/>
  </si>
  <si>
    <t>7월</t>
    <phoneticPr fontId="3" type="noConversion"/>
  </si>
  <si>
    <t>7월</t>
    <phoneticPr fontId="3" type="noConversion"/>
  </si>
  <si>
    <t>○ 26년 7월 펄프가 761 천원, 판가 Gap 1,675 천원</t>
    <phoneticPr fontId="3" type="noConversion"/>
  </si>
  <si>
    <t>26.7월</t>
    <phoneticPr fontId="3" type="noConversion"/>
  </si>
  <si>
    <t>○ 26년 7월 펄프가 764 천원, 판가 Gap 1,680 천원</t>
    <phoneticPr fontId="3" type="noConversion"/>
  </si>
  <si>
    <t>○ 26년 7월 펄프가 801 천원, 판가 Gap 1,702 천원</t>
    <phoneticPr fontId="3" type="noConversion"/>
  </si>
  <si>
    <t>26.7월</t>
    <phoneticPr fontId="3" type="noConversion"/>
  </si>
  <si>
    <t>○ 26년 7월 펄프가 788 천원, 판가 Gap 710 천원</t>
    <phoneticPr fontId="3" type="noConversion"/>
  </si>
  <si>
    <t>○ 26년 7월 고지가 205 천원, 판가 Gap 614 천원</t>
    <phoneticPr fontId="3" type="noConversion"/>
  </si>
  <si>
    <t>○ 26년 7월 고지가 209 천원, 판가 Gap 505 천원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</si>
</sst>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#,##0_ "/>
    <numFmt numFmtId="178" formatCode="###,000"/>
  </numFmts>
  <fonts count="5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 tint="-0.14999847407452621"/>
      <name val="맑은 고딕"/>
      <family val="2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6"/>
      <color theme="4" tint="-0.249977111117893"/>
      <name val="맑은 고딕"/>
      <family val="3"/>
      <charset val="129"/>
      <scheme val="minor"/>
    </font>
    <font>
      <sz val="11"/>
      <color theme="7"/>
      <name val="맑은 고딕"/>
      <family val="2"/>
      <charset val="129"/>
      <scheme val="minor"/>
    </font>
    <font>
      <sz val="11"/>
      <color theme="7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8"/>
      <color theme="0"/>
      <name val="맑은 고딕"/>
      <family val="3"/>
      <charset val="129"/>
    </font>
    <font>
      <b/>
      <sz val="8"/>
      <color theme="0"/>
      <name val="Verdana"/>
      <family val="2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0" fillId="6" borderId="12" applyNumberFormat="0" applyAlignment="0" applyProtection="0">
      <alignment horizontal="left" vertical="center" indent="1"/>
    </xf>
    <xf numFmtId="178" fontId="21" fillId="7" borderId="12" applyNumberFormat="0" applyAlignment="0" applyProtection="0">
      <alignment horizontal="left" vertical="center" indent="1"/>
    </xf>
    <xf numFmtId="178" fontId="21" fillId="0" borderId="13" applyNumberFormat="0" applyProtection="0">
      <alignment horizontal="right" vertical="center"/>
    </xf>
    <xf numFmtId="0" fontId="20" fillId="6" borderId="14" applyNumberFormat="0" applyAlignment="0" applyProtection="0">
      <alignment horizontal="left" vertical="center" indent="1"/>
    </xf>
    <xf numFmtId="178" fontId="20" fillId="0" borderId="14" applyNumberFormat="0" applyProtection="0">
      <alignment horizontal="right" vertical="center"/>
    </xf>
    <xf numFmtId="178" fontId="21" fillId="7" borderId="12" applyNumberFormat="0" applyAlignment="0" applyProtection="0">
      <alignment horizontal="left" vertical="center" indent="1"/>
    </xf>
    <xf numFmtId="0" fontId="22" fillId="8" borderId="14" applyNumberFormat="0" applyAlignment="0">
      <alignment horizontal="left" vertical="center" indent="1"/>
      <protection locked="0"/>
    </xf>
    <xf numFmtId="0" fontId="22" fillId="9" borderId="14" applyNumberFormat="0" applyAlignment="0" applyProtection="0">
      <alignment horizontal="left" vertical="center" indent="1"/>
    </xf>
    <xf numFmtId="178" fontId="21" fillId="10" borderId="13" applyNumberFormat="0" applyBorder="0">
      <alignment horizontal="right" vertical="center"/>
      <protection locked="0"/>
    </xf>
    <xf numFmtId="0" fontId="22" fillId="8" borderId="14" applyNumberFormat="0" applyAlignment="0">
      <alignment horizontal="left" vertical="center" indent="1"/>
      <protection locked="0"/>
    </xf>
    <xf numFmtId="178" fontId="20" fillId="9" borderId="14" applyNumberFormat="0" applyProtection="0">
      <alignment horizontal="right" vertical="center"/>
    </xf>
    <xf numFmtId="178" fontId="20" fillId="10" borderId="14" applyNumberFormat="0" applyBorder="0">
      <alignment horizontal="right" vertical="center"/>
      <protection locked="0"/>
    </xf>
    <xf numFmtId="178" fontId="23" fillId="11" borderId="15" applyNumberFormat="0" applyBorder="0" applyAlignment="0" applyProtection="0">
      <alignment horizontal="right" vertical="center" indent="1"/>
    </xf>
    <xf numFmtId="178" fontId="24" fillId="12" borderId="15" applyNumberFormat="0" applyBorder="0" applyAlignment="0" applyProtection="0">
      <alignment horizontal="right" vertical="center" indent="1"/>
    </xf>
    <xf numFmtId="178" fontId="24" fillId="13" borderId="15" applyNumberFormat="0" applyBorder="0" applyAlignment="0" applyProtection="0">
      <alignment horizontal="right" vertical="center" indent="1"/>
    </xf>
    <xf numFmtId="178" fontId="25" fillId="14" borderId="15" applyNumberFormat="0" applyBorder="0" applyAlignment="0" applyProtection="0">
      <alignment horizontal="right" vertical="center" indent="1"/>
    </xf>
    <xf numFmtId="178" fontId="25" fillId="15" borderId="15" applyNumberFormat="0" applyBorder="0" applyAlignment="0" applyProtection="0">
      <alignment horizontal="right" vertical="center" indent="1"/>
    </xf>
    <xf numFmtId="178" fontId="25" fillId="16" borderId="15" applyNumberFormat="0" applyBorder="0" applyAlignment="0" applyProtection="0">
      <alignment horizontal="right" vertical="center" indent="1"/>
    </xf>
    <xf numFmtId="178" fontId="26" fillId="17" borderId="15" applyNumberFormat="0" applyBorder="0" applyAlignment="0" applyProtection="0">
      <alignment horizontal="right" vertical="center" indent="1"/>
    </xf>
    <xf numFmtId="178" fontId="26" fillId="18" borderId="15" applyNumberFormat="0" applyBorder="0" applyAlignment="0" applyProtection="0">
      <alignment horizontal="right" vertical="center" indent="1"/>
    </xf>
    <xf numFmtId="178" fontId="26" fillId="19" borderId="15" applyNumberFormat="0" applyBorder="0" applyAlignment="0" applyProtection="0">
      <alignment horizontal="right" vertical="center" indent="1"/>
    </xf>
    <xf numFmtId="0" fontId="27" fillId="0" borderId="12" applyNumberFormat="0" applyFont="0" applyFill="0" applyAlignment="0" applyProtection="0"/>
    <xf numFmtId="178" fontId="28" fillId="7" borderId="0" applyNumberFormat="0" applyAlignment="0" applyProtection="0">
      <alignment horizontal="left" vertical="center" indent="1"/>
    </xf>
    <xf numFmtId="0" fontId="27" fillId="0" borderId="16" applyNumberFormat="0" applyFont="0" applyFill="0" applyAlignment="0" applyProtection="0"/>
    <xf numFmtId="178" fontId="21" fillId="0" borderId="13" applyNumberFormat="0" applyFill="0" applyBorder="0" applyAlignment="0" applyProtection="0">
      <alignment horizontal="right" vertical="center"/>
    </xf>
    <xf numFmtId="0" fontId="22" fillId="20" borderId="12" applyNumberFormat="0" applyAlignment="0" applyProtection="0">
      <alignment horizontal="left" vertical="center" indent="1"/>
    </xf>
    <xf numFmtId="0" fontId="22" fillId="21" borderId="12" applyNumberFormat="0" applyAlignment="0" applyProtection="0">
      <alignment horizontal="left" vertical="center" indent="1"/>
    </xf>
    <xf numFmtId="0" fontId="22" fillId="22" borderId="12" applyNumberFormat="0" applyAlignment="0" applyProtection="0">
      <alignment horizontal="left" vertical="center" indent="1"/>
    </xf>
    <xf numFmtId="0" fontId="22" fillId="10" borderId="12" applyNumberFormat="0" applyAlignment="0" applyProtection="0">
      <alignment horizontal="left" vertical="center" indent="1"/>
    </xf>
    <xf numFmtId="0" fontId="22" fillId="9" borderId="14" applyNumberFormat="0" applyAlignment="0" applyProtection="0">
      <alignment horizontal="left" vertical="center" indent="1"/>
    </xf>
    <xf numFmtId="0" fontId="29" fillId="0" borderId="17" applyNumberFormat="0" applyFill="0" applyBorder="0" applyAlignment="0" applyProtection="0"/>
    <xf numFmtId="0" fontId="30" fillId="0" borderId="17" applyNumberFormat="0" applyBorder="0" applyAlignment="0" applyProtection="0"/>
    <xf numFmtId="0" fontId="29" fillId="8" borderId="14" applyNumberFormat="0" applyAlignment="0">
      <alignment horizontal="left" vertical="center" indent="1"/>
      <protection locked="0"/>
    </xf>
    <xf numFmtId="0" fontId="29" fillId="8" borderId="14" applyNumberFormat="0" applyAlignment="0">
      <alignment horizontal="left" vertical="center" indent="1"/>
      <protection locked="0"/>
    </xf>
    <xf numFmtId="0" fontId="29" fillId="9" borderId="14" applyNumberFormat="0" applyAlignment="0" applyProtection="0">
      <alignment horizontal="left" vertical="center" indent="1"/>
    </xf>
    <xf numFmtId="178" fontId="31" fillId="9" borderId="14" applyNumberFormat="0" applyProtection="0">
      <alignment horizontal="right" vertical="center"/>
    </xf>
    <xf numFmtId="178" fontId="32" fillId="10" borderId="13" applyNumberFormat="0" applyBorder="0">
      <alignment horizontal="right" vertical="center"/>
      <protection locked="0"/>
    </xf>
    <xf numFmtId="178" fontId="31" fillId="10" borderId="14" applyNumberFormat="0" applyBorder="0">
      <alignment horizontal="right" vertical="center"/>
      <protection locked="0"/>
    </xf>
    <xf numFmtId="178" fontId="21" fillId="0" borderId="13" applyNumberFormat="0" applyFill="0" applyBorder="0" applyAlignment="0" applyProtection="0">
      <alignment horizontal="right" vertical="center"/>
    </xf>
    <xf numFmtId="176" fontId="1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177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176" fontId="4" fillId="3" borderId="1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right" vertical="center"/>
    </xf>
    <xf numFmtId="177" fontId="5" fillId="0" borderId="1" xfId="0" quotePrefix="1" applyNumberFormat="1" applyFont="1" applyBorder="1" applyAlignment="1">
      <alignment horizontal="right" vertical="center"/>
    </xf>
    <xf numFmtId="0" fontId="6" fillId="4" borderId="10" xfId="0" applyFont="1" applyFill="1" applyBorder="1">
      <alignment vertical="center"/>
    </xf>
    <xf numFmtId="177" fontId="6" fillId="4" borderId="1" xfId="1" applyNumberFormat="1" applyFont="1" applyFill="1" applyBorder="1" applyAlignment="1">
      <alignment horizontal="right" vertical="center"/>
    </xf>
    <xf numFmtId="177" fontId="6" fillId="4" borderId="1" xfId="1" quotePrefix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right" vertical="center"/>
    </xf>
    <xf numFmtId="177" fontId="10" fillId="0" borderId="1" xfId="0" applyNumberFormat="1" applyFont="1" applyBorder="1" applyAlignment="1">
      <alignment horizontal="right" vertical="center"/>
    </xf>
    <xf numFmtId="177" fontId="9" fillId="0" borderId="1" xfId="0" quotePrefix="1" applyNumberFormat="1" applyFont="1" applyBorder="1" applyAlignment="1">
      <alignment horizontal="right" vertical="center"/>
    </xf>
    <xf numFmtId="177" fontId="10" fillId="0" borderId="1" xfId="1" quotePrefix="1" applyNumberFormat="1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5" borderId="0" xfId="0" applyFont="1" applyFill="1">
      <alignment vertical="center"/>
    </xf>
    <xf numFmtId="0" fontId="2" fillId="5" borderId="0" xfId="0" applyFont="1" applyFill="1">
      <alignment vertical="center"/>
    </xf>
    <xf numFmtId="176" fontId="9" fillId="0" borderId="1" xfId="1" applyFont="1" applyFill="1" applyBorder="1" applyAlignment="1">
      <alignment horizontal="center" vertical="center" wrapText="1"/>
    </xf>
    <xf numFmtId="0" fontId="11" fillId="5" borderId="0" xfId="0" applyFont="1" applyFill="1">
      <alignment vertical="center"/>
    </xf>
    <xf numFmtId="0" fontId="13" fillId="5" borderId="0" xfId="0" applyFont="1" applyFill="1">
      <alignment vertical="center"/>
    </xf>
    <xf numFmtId="176" fontId="0" fillId="5" borderId="0" xfId="2" applyFont="1" applyFill="1">
      <alignment vertical="center"/>
    </xf>
    <xf numFmtId="176" fontId="2" fillId="5" borderId="0" xfId="2" applyFont="1" applyFill="1">
      <alignment vertical="center"/>
    </xf>
    <xf numFmtId="176" fontId="7" fillId="5" borderId="0" xfId="2" applyFont="1" applyFill="1">
      <alignment vertical="center"/>
    </xf>
    <xf numFmtId="176" fontId="14" fillId="5" borderId="0" xfId="2" applyFont="1" applyFill="1">
      <alignment vertical="center"/>
    </xf>
    <xf numFmtId="0" fontId="15" fillId="5" borderId="0" xfId="0" applyFont="1" applyFill="1">
      <alignment vertical="center"/>
    </xf>
    <xf numFmtId="0" fontId="16" fillId="0" borderId="0" xfId="0" applyFont="1">
      <alignment vertical="center"/>
    </xf>
    <xf numFmtId="176" fontId="10" fillId="0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right" vertical="center"/>
    </xf>
    <xf numFmtId="0" fontId="17" fillId="5" borderId="0" xfId="0" applyFont="1" applyFill="1">
      <alignment vertical="center"/>
    </xf>
    <xf numFmtId="176" fontId="17" fillId="5" borderId="0" xfId="2" applyFont="1" applyFill="1">
      <alignment vertical="center"/>
    </xf>
    <xf numFmtId="176" fontId="18" fillId="5" borderId="0" xfId="2" applyFont="1" applyFill="1">
      <alignment vertical="center"/>
    </xf>
    <xf numFmtId="0" fontId="18" fillId="5" borderId="0" xfId="0" applyFont="1" applyFill="1">
      <alignment vertical="center"/>
    </xf>
    <xf numFmtId="176" fontId="13" fillId="5" borderId="0" xfId="2" applyFont="1" applyFill="1">
      <alignment vertical="center"/>
    </xf>
    <xf numFmtId="0" fontId="19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176" fontId="34" fillId="3" borderId="1" xfId="1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/>
    </xf>
    <xf numFmtId="177" fontId="35" fillId="0" borderId="1" xfId="1" applyNumberFormat="1" applyFont="1" applyFill="1" applyBorder="1" applyAlignment="1">
      <alignment horizontal="right" vertical="center"/>
    </xf>
    <xf numFmtId="177" fontId="35" fillId="0" borderId="1" xfId="0" applyNumberFormat="1" applyFont="1" applyBorder="1" applyAlignment="1">
      <alignment horizontal="right" vertical="center"/>
    </xf>
    <xf numFmtId="177" fontId="35" fillId="0" borderId="1" xfId="0" quotePrefix="1" applyNumberFormat="1" applyFont="1" applyBorder="1" applyAlignment="1">
      <alignment horizontal="right" vertical="center"/>
    </xf>
    <xf numFmtId="0" fontId="36" fillId="4" borderId="10" xfId="0" applyFont="1" applyFill="1" applyBorder="1">
      <alignment vertical="center"/>
    </xf>
    <xf numFmtId="177" fontId="36" fillId="4" borderId="1" xfId="1" applyNumberFormat="1" applyFont="1" applyFill="1" applyBorder="1" applyAlignment="1">
      <alignment horizontal="right" vertical="center"/>
    </xf>
    <xf numFmtId="177" fontId="36" fillId="4" borderId="1" xfId="1" quotePrefix="1" applyNumberFormat="1" applyFont="1" applyFill="1" applyBorder="1" applyAlignment="1">
      <alignment horizontal="right" vertical="center"/>
    </xf>
    <xf numFmtId="0" fontId="35" fillId="4" borderId="4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9" fillId="5" borderId="1" xfId="0" quotePrefix="1" applyNumberFormat="1" applyFont="1" applyFill="1" applyBorder="1" applyAlignment="1">
      <alignment horizontal="right" vertical="center"/>
    </xf>
    <xf numFmtId="177" fontId="10" fillId="5" borderId="1" xfId="1" quotePrefix="1" applyNumberFormat="1" applyFont="1" applyFill="1" applyBorder="1" applyAlignment="1">
      <alignment horizontal="right" vertical="center"/>
    </xf>
    <xf numFmtId="0" fontId="37" fillId="5" borderId="0" xfId="0" applyFont="1" applyFill="1">
      <alignment vertical="center"/>
    </xf>
    <xf numFmtId="0" fontId="38" fillId="5" borderId="0" xfId="0" applyFont="1" applyFill="1">
      <alignment vertical="center"/>
    </xf>
    <xf numFmtId="0" fontId="19" fillId="5" borderId="0" xfId="0" applyFont="1" applyFill="1">
      <alignment vertical="center"/>
    </xf>
    <xf numFmtId="0" fontId="19" fillId="5" borderId="0" xfId="0" applyFont="1" applyFill="1" applyAlignment="1">
      <alignment horizontal="center" vertical="center"/>
    </xf>
    <xf numFmtId="0" fontId="10" fillId="5" borderId="0" xfId="0" applyFont="1" applyFill="1">
      <alignment vertical="center"/>
    </xf>
    <xf numFmtId="0" fontId="7" fillId="5" borderId="0" xfId="0" applyFont="1" applyFill="1">
      <alignment vertical="center"/>
    </xf>
    <xf numFmtId="176" fontId="9" fillId="0" borderId="1" xfId="2" applyFont="1" applyFill="1" applyBorder="1" applyAlignment="1">
      <alignment horizontal="center" vertical="center" wrapText="1"/>
    </xf>
    <xf numFmtId="177" fontId="10" fillId="0" borderId="1" xfId="2" applyNumberFormat="1" applyFont="1" applyFill="1" applyBorder="1" applyAlignment="1">
      <alignment horizontal="right" vertical="center"/>
    </xf>
    <xf numFmtId="0" fontId="5" fillId="5" borderId="0" xfId="0" applyFont="1" applyFill="1">
      <alignment vertical="center"/>
    </xf>
    <xf numFmtId="0" fontId="39" fillId="5" borderId="0" xfId="0" applyFont="1" applyFill="1">
      <alignment vertical="center"/>
    </xf>
    <xf numFmtId="0" fontId="40" fillId="5" borderId="0" xfId="0" applyFont="1" applyFill="1">
      <alignment vertical="center"/>
    </xf>
    <xf numFmtId="0" fontId="2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40" fillId="0" borderId="0" xfId="0" applyFont="1">
      <alignment vertical="center"/>
    </xf>
    <xf numFmtId="176" fontId="11" fillId="5" borderId="0" xfId="2" applyFont="1" applyFill="1">
      <alignment vertical="center"/>
    </xf>
    <xf numFmtId="0" fontId="41" fillId="5" borderId="0" xfId="0" applyFont="1" applyFill="1">
      <alignment vertical="center"/>
    </xf>
    <xf numFmtId="0" fontId="33" fillId="5" borderId="0" xfId="0" applyFont="1" applyFill="1">
      <alignment vertical="center"/>
    </xf>
    <xf numFmtId="0" fontId="42" fillId="5" borderId="0" xfId="0" applyFont="1" applyFill="1">
      <alignment vertical="center"/>
    </xf>
    <xf numFmtId="0" fontId="7" fillId="5" borderId="0" xfId="0" applyFont="1" applyFill="1" applyAlignment="1">
      <alignment horizontal="center" vertical="center" wrapText="1"/>
    </xf>
    <xf numFmtId="176" fontId="40" fillId="5" borderId="0" xfId="2" applyFont="1" applyFill="1">
      <alignment vertical="center"/>
    </xf>
    <xf numFmtId="176" fontId="7" fillId="5" borderId="0" xfId="2" applyFont="1" applyFill="1" applyAlignment="1">
      <alignment vertical="center" wrapText="1"/>
    </xf>
    <xf numFmtId="176" fontId="7" fillId="0" borderId="0" xfId="2" applyFont="1" applyFill="1">
      <alignment vertical="center"/>
    </xf>
    <xf numFmtId="176" fontId="7" fillId="0" borderId="0" xfId="2" applyFont="1">
      <alignment vertical="center"/>
    </xf>
    <xf numFmtId="0" fontId="43" fillId="5" borderId="0" xfId="0" applyFont="1" applyFill="1">
      <alignment vertical="center"/>
    </xf>
    <xf numFmtId="0" fontId="7" fillId="5" borderId="0" xfId="0" applyFont="1" applyFill="1" applyAlignment="1">
      <alignment vertical="center" wrapText="1"/>
    </xf>
    <xf numFmtId="176" fontId="44" fillId="0" borderId="1" xfId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11" fillId="0" borderId="0" xfId="2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77" fontId="45" fillId="5" borderId="1" xfId="1" applyNumberFormat="1" applyFont="1" applyFill="1" applyBorder="1" applyAlignment="1">
      <alignment horizontal="right" vertical="center"/>
    </xf>
    <xf numFmtId="0" fontId="37" fillId="0" borderId="0" xfId="0" applyFont="1">
      <alignment vertical="center"/>
    </xf>
    <xf numFmtId="176" fontId="7" fillId="5" borderId="0" xfId="2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11" fillId="0" borderId="0" xfId="0" applyFont="1">
      <alignment vertical="center"/>
    </xf>
    <xf numFmtId="0" fontId="40" fillId="5" borderId="0" xfId="0" applyFont="1" applyFill="1" applyAlignment="1">
      <alignment horizontal="center" vertical="center"/>
    </xf>
    <xf numFmtId="0" fontId="46" fillId="5" borderId="0" xfId="0" applyFont="1" applyFill="1">
      <alignment vertical="center"/>
    </xf>
    <xf numFmtId="0" fontId="46" fillId="0" borderId="18" xfId="0" applyFont="1" applyBorder="1" applyAlignment="1">
      <alignment horizontal="center" vertical="center"/>
    </xf>
    <xf numFmtId="0" fontId="47" fillId="0" borderId="18" xfId="0" applyFont="1" applyBorder="1">
      <alignment vertical="center"/>
    </xf>
    <xf numFmtId="176" fontId="47" fillId="0" borderId="18" xfId="1" applyFont="1" applyFill="1" applyBorder="1">
      <alignment vertical="center"/>
    </xf>
    <xf numFmtId="176" fontId="47" fillId="0" borderId="18" xfId="2" applyFont="1" applyFill="1" applyBorder="1">
      <alignment vertical="center"/>
    </xf>
    <xf numFmtId="176" fontId="7" fillId="5" borderId="0" xfId="2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 wrapText="1"/>
    </xf>
    <xf numFmtId="0" fontId="47" fillId="0" borderId="18" xfId="0" applyFont="1" applyBorder="1" applyAlignment="1">
      <alignment horizontal="center" vertical="center"/>
    </xf>
    <xf numFmtId="0" fontId="2" fillId="5" borderId="19" xfId="0" applyFont="1" applyFill="1" applyBorder="1" applyAlignment="1">
      <alignment horizontal="right" vertical="center"/>
    </xf>
    <xf numFmtId="0" fontId="2" fillId="5" borderId="20" xfId="0" applyFont="1" applyFill="1" applyBorder="1" applyAlignment="1">
      <alignment horizontal="right" vertical="center"/>
    </xf>
    <xf numFmtId="0" fontId="7" fillId="5" borderId="20" xfId="0" applyFont="1" applyFill="1" applyBorder="1" applyAlignment="1">
      <alignment horizontal="right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8" xfId="0" applyFont="1" applyFill="1" applyBorder="1">
      <alignment vertical="center"/>
    </xf>
    <xf numFmtId="0" fontId="7" fillId="5" borderId="22" xfId="0" applyFont="1" applyFill="1" applyBorder="1">
      <alignment vertical="center"/>
    </xf>
    <xf numFmtId="0" fontId="48" fillId="5" borderId="23" xfId="0" applyFont="1" applyFill="1" applyBorder="1" applyAlignment="1">
      <alignment horizontal="center" vertical="center"/>
    </xf>
    <xf numFmtId="0" fontId="38" fillId="5" borderId="24" xfId="0" applyFont="1" applyFill="1" applyBorder="1">
      <alignment vertical="center"/>
    </xf>
    <xf numFmtId="0" fontId="7" fillId="5" borderId="25" xfId="0" applyFont="1" applyFill="1" applyBorder="1">
      <alignment vertical="center"/>
    </xf>
    <xf numFmtId="0" fontId="7" fillId="0" borderId="0" xfId="0" applyFont="1" applyAlignment="1">
      <alignment horizontal="right" vertical="center"/>
    </xf>
    <xf numFmtId="1" fontId="7" fillId="0" borderId="0" xfId="0" applyNumberFormat="1" applyFont="1">
      <alignment vertical="center"/>
    </xf>
    <xf numFmtId="1" fontId="7" fillId="5" borderId="0" xfId="0" applyNumberFormat="1" applyFont="1" applyFill="1">
      <alignment vertical="center"/>
    </xf>
    <xf numFmtId="0" fontId="47" fillId="5" borderId="18" xfId="0" applyFont="1" applyFill="1" applyBorder="1">
      <alignment vertical="center"/>
    </xf>
    <xf numFmtId="0" fontId="47" fillId="5" borderId="0" xfId="0" applyFont="1" applyFill="1">
      <alignment vertical="center"/>
    </xf>
    <xf numFmtId="0" fontId="11" fillId="5" borderId="0" xfId="0" applyFont="1" applyFill="1" applyAlignment="1">
      <alignment horizontal="right" vertical="center"/>
    </xf>
    <xf numFmtId="177" fontId="44" fillId="0" borderId="1" xfId="0" applyNumberFormat="1" applyFont="1" applyBorder="1" applyAlignment="1">
      <alignment horizontal="right" vertical="center"/>
    </xf>
    <xf numFmtId="177" fontId="45" fillId="0" borderId="1" xfId="2" applyNumberFormat="1" applyFont="1" applyFill="1" applyBorder="1" applyAlignment="1">
      <alignment horizontal="right" vertical="center"/>
    </xf>
    <xf numFmtId="0" fontId="20" fillId="9" borderId="14" xfId="15" applyNumberFormat="1">
      <alignment horizontal="right" vertical="center"/>
    </xf>
    <xf numFmtId="0" fontId="52" fillId="5" borderId="0" xfId="0" applyFont="1" applyFill="1">
      <alignment vertical="center"/>
    </xf>
    <xf numFmtId="176" fontId="38" fillId="0" borderId="0" xfId="2" applyFont="1" applyFill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6" fontId="53" fillId="5" borderId="0" xfId="2" applyFont="1" applyFill="1">
      <alignment vertical="center"/>
    </xf>
    <xf numFmtId="176" fontId="40" fillId="0" borderId="0" xfId="2" applyFont="1">
      <alignment vertical="center"/>
    </xf>
    <xf numFmtId="0" fontId="11" fillId="0" borderId="0" xfId="0" applyFont="1" applyAlignment="1">
      <alignment horizontal="right" vertical="center"/>
    </xf>
    <xf numFmtId="0" fontId="11" fillId="0" borderId="19" xfId="0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 wrapText="1"/>
    </xf>
    <xf numFmtId="0" fontId="54" fillId="0" borderId="18" xfId="0" applyFont="1" applyBorder="1" applyAlignment="1">
      <alignment horizontal="center" vertical="center"/>
    </xf>
    <xf numFmtId="0" fontId="39" fillId="0" borderId="0" xfId="0" applyFont="1">
      <alignment vertical="center"/>
    </xf>
    <xf numFmtId="176" fontId="38" fillId="5" borderId="0" xfId="2" applyFont="1" applyFill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/>
    </xf>
    <xf numFmtId="0" fontId="49" fillId="2" borderId="2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/>
    </xf>
    <xf numFmtId="0" fontId="34" fillId="3" borderId="6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6" xfId="0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35" fillId="4" borderId="7" xfId="0" applyFont="1" applyFill="1" applyBorder="1" applyAlignment="1">
      <alignment horizontal="center" vertical="center"/>
    </xf>
    <xf numFmtId="0" fontId="35" fillId="4" borderId="9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</cellXfs>
  <cellStyles count="45">
    <cellStyle name="SAPBorder" xfId="26" xr:uid="{00000000-0005-0000-0000-000000000000}"/>
    <cellStyle name="SAPDataCell" xfId="7" xr:uid="{00000000-0005-0000-0000-000001000000}"/>
    <cellStyle name="SAPDataRemoved" xfId="27" xr:uid="{00000000-0005-0000-0000-000002000000}"/>
    <cellStyle name="SAPDataTotalCell" xfId="9" xr:uid="{00000000-0005-0000-0000-000003000000}"/>
    <cellStyle name="SAPDimensionCell" xfId="5" xr:uid="{00000000-0005-0000-0000-000004000000}"/>
    <cellStyle name="SAPEditableDataCell" xfId="11" xr:uid="{00000000-0005-0000-0000-000005000000}"/>
    <cellStyle name="SAPEditableDataTotalCell" xfId="14" xr:uid="{00000000-0005-0000-0000-000006000000}"/>
    <cellStyle name="SAPEmphasized" xfId="35" xr:uid="{00000000-0005-0000-0000-000007000000}"/>
    <cellStyle name="SAPEmphasizedEditableDataCell" xfId="37" xr:uid="{00000000-0005-0000-0000-000008000000}"/>
    <cellStyle name="SAPEmphasizedEditableDataTotalCell" xfId="38" xr:uid="{00000000-0005-0000-0000-000009000000}"/>
    <cellStyle name="SAPEmphasizedLockedDataCell" xfId="41" xr:uid="{00000000-0005-0000-0000-00000A000000}"/>
    <cellStyle name="SAPEmphasizedLockedDataTotalCell" xfId="42" xr:uid="{00000000-0005-0000-0000-00000B000000}"/>
    <cellStyle name="SAPEmphasizedReadonlyDataCell" xfId="39" xr:uid="{00000000-0005-0000-0000-00000C000000}"/>
    <cellStyle name="SAPEmphasizedReadonlyDataTotalCell" xfId="40" xr:uid="{00000000-0005-0000-0000-00000D000000}"/>
    <cellStyle name="SAPEmphasizedTotal" xfId="36" xr:uid="{00000000-0005-0000-0000-00000E000000}"/>
    <cellStyle name="SAPError" xfId="28" xr:uid="{00000000-0005-0000-0000-00000F000000}"/>
    <cellStyle name="SAPExceptionLevel1" xfId="17" xr:uid="{00000000-0005-0000-0000-000010000000}"/>
    <cellStyle name="SAPExceptionLevel2" xfId="18" xr:uid="{00000000-0005-0000-0000-000011000000}"/>
    <cellStyle name="SAPExceptionLevel3" xfId="19" xr:uid="{00000000-0005-0000-0000-000012000000}"/>
    <cellStyle name="SAPExceptionLevel4" xfId="20" xr:uid="{00000000-0005-0000-0000-000013000000}"/>
    <cellStyle name="SAPExceptionLevel5" xfId="21" xr:uid="{00000000-0005-0000-0000-000014000000}"/>
    <cellStyle name="SAPExceptionLevel6" xfId="22" xr:uid="{00000000-0005-0000-0000-000015000000}"/>
    <cellStyle name="SAPExceptionLevel7" xfId="23" xr:uid="{00000000-0005-0000-0000-000016000000}"/>
    <cellStyle name="SAPExceptionLevel8" xfId="24" xr:uid="{00000000-0005-0000-0000-000017000000}"/>
    <cellStyle name="SAPExceptionLevel9" xfId="25" xr:uid="{00000000-0005-0000-0000-000018000000}"/>
    <cellStyle name="SAPFormula" xfId="43" xr:uid="{00000000-0005-0000-0000-000019000000}"/>
    <cellStyle name="SAPGroupingFillCell" xfId="10" xr:uid="{00000000-0005-0000-0000-00001A000000}"/>
    <cellStyle name="SAPHierarchyCell0" xfId="30" xr:uid="{00000000-0005-0000-0000-00001B000000}"/>
    <cellStyle name="SAPHierarchyCell1" xfId="31" xr:uid="{00000000-0005-0000-0000-00001C000000}"/>
    <cellStyle name="SAPHierarchyCell2" xfId="32" xr:uid="{00000000-0005-0000-0000-00001D000000}"/>
    <cellStyle name="SAPHierarchyCell3" xfId="33" xr:uid="{00000000-0005-0000-0000-00001E000000}"/>
    <cellStyle name="SAPHierarchyCell4" xfId="34" xr:uid="{00000000-0005-0000-0000-00001F000000}"/>
    <cellStyle name="SAPLockedDataCell" xfId="13" xr:uid="{00000000-0005-0000-0000-000020000000}"/>
    <cellStyle name="SAPLockedDataTotalCell" xfId="16" xr:uid="{00000000-0005-0000-0000-000021000000}"/>
    <cellStyle name="SAPMemberCell" xfId="6" xr:uid="{00000000-0005-0000-0000-000022000000}"/>
    <cellStyle name="SAPMemberTotalCell" xfId="8" xr:uid="{00000000-0005-0000-0000-000023000000}"/>
    <cellStyle name="SAPMessageText" xfId="29" xr:uid="{00000000-0005-0000-0000-000024000000}"/>
    <cellStyle name="SAPReadonlyDataCell" xfId="12" xr:uid="{00000000-0005-0000-0000-000025000000}"/>
    <cellStyle name="SAPReadonlyDataTotalCell" xfId="15" xr:uid="{00000000-0005-0000-0000-000026000000}"/>
    <cellStyle name="쉼표 [0]" xfId="2" builtinId="6"/>
    <cellStyle name="쉼표 [0] 2" xfId="1" xr:uid="{00000000-0005-0000-0000-000028000000}"/>
    <cellStyle name="쉼표 [0] 2 2" xfId="44" xr:uid="{00000000-0005-0000-0000-000029000000}"/>
    <cellStyle name="쉼표 [0] 2 3" xfId="3" xr:uid="{00000000-0005-0000-0000-00002A000000}"/>
    <cellStyle name="쉼표 [0] 3" xfId="4" xr:uid="{00000000-0005-0000-0000-00002B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56041830107351E-3"/>
          <c:y val="0.14350582206739063"/>
          <c:w val="0.98831341594752764"/>
          <c:h val="0.76357553548493307"/>
        </c:manualLayout>
      </c:layout>
      <c:lineChart>
        <c:grouping val="standard"/>
        <c:varyColors val="0"/>
        <c:ser>
          <c:idx val="0"/>
          <c:order val="0"/>
          <c:tx>
            <c:strRef>
              <c:f>'Gap Trends'!$B$214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Trends'!$C$213:$AE$213</c:f>
              <c:strCache>
                <c:ptCount val="29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 25년 </c:v>
                </c:pt>
                <c:pt idx="9">
                  <c:v>25.1월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  <c:pt idx="13">
                  <c:v>5월</c:v>
                </c:pt>
                <c:pt idx="14">
                  <c:v>6월</c:v>
                </c:pt>
                <c:pt idx="15">
                  <c:v>7월</c:v>
                </c:pt>
                <c:pt idx="16">
                  <c:v>8월</c:v>
                </c:pt>
                <c:pt idx="17">
                  <c:v>9월</c:v>
                </c:pt>
                <c:pt idx="18">
                  <c:v>10월</c:v>
                </c:pt>
                <c:pt idx="19">
                  <c:v>11월</c:v>
                </c:pt>
                <c:pt idx="20">
                  <c:v>12월</c:v>
                </c:pt>
                <c:pt idx="21">
                  <c:v> 26년 경영계획 </c:v>
                </c:pt>
                <c:pt idx="22">
                  <c:v> 26.1월 </c:v>
                </c:pt>
                <c:pt idx="23">
                  <c:v>2월</c:v>
                </c:pt>
                <c:pt idx="24">
                  <c:v>3월</c:v>
                </c:pt>
                <c:pt idx="25">
                  <c:v>4월</c:v>
                </c:pt>
                <c:pt idx="26">
                  <c:v>5월</c:v>
                </c:pt>
                <c:pt idx="27">
                  <c:v>6월</c:v>
                </c:pt>
                <c:pt idx="28">
                  <c:v>7월</c:v>
                </c:pt>
              </c:strCache>
            </c:strRef>
          </c:cat>
          <c:val>
            <c:numRef>
              <c:f>'Gap Trends'!$C$214:$AE$214</c:f>
              <c:numCache>
                <c:formatCode>_(* #,##0_);_(* \(#,##0\);_(* "-"_);_(@_)</c:formatCode>
                <c:ptCount val="29"/>
                <c:pt idx="0">
                  <c:v>503</c:v>
                </c:pt>
                <c:pt idx="1">
                  <c:v>622</c:v>
                </c:pt>
                <c:pt idx="2">
                  <c:v>558</c:v>
                </c:pt>
                <c:pt idx="3">
                  <c:v>436</c:v>
                </c:pt>
                <c:pt idx="4">
                  <c:v>486</c:v>
                </c:pt>
                <c:pt idx="5">
                  <c:v>666</c:v>
                </c:pt>
                <c:pt idx="6">
                  <c:v>676</c:v>
                </c:pt>
                <c:pt idx="7">
                  <c:v>631</c:v>
                </c:pt>
                <c:pt idx="8">
                  <c:v>555</c:v>
                </c:pt>
                <c:pt idx="9">
                  <c:v>622</c:v>
                </c:pt>
                <c:pt idx="10">
                  <c:v>570</c:v>
                </c:pt>
                <c:pt idx="11">
                  <c:v>566</c:v>
                </c:pt>
                <c:pt idx="12">
                  <c:v>561</c:v>
                </c:pt>
                <c:pt idx="13">
                  <c:v>569</c:v>
                </c:pt>
                <c:pt idx="14">
                  <c:v>563</c:v>
                </c:pt>
                <c:pt idx="15">
                  <c:v>547</c:v>
                </c:pt>
                <c:pt idx="16">
                  <c:v>537</c:v>
                </c:pt>
                <c:pt idx="17">
                  <c:v>524</c:v>
                </c:pt>
                <c:pt idx="18">
                  <c:v>523</c:v>
                </c:pt>
                <c:pt idx="19">
                  <c:v>531</c:v>
                </c:pt>
                <c:pt idx="20">
                  <c:v>545</c:v>
                </c:pt>
                <c:pt idx="21">
                  <c:v>511</c:v>
                </c:pt>
                <c:pt idx="22">
                  <c:v>566</c:v>
                </c:pt>
                <c:pt idx="23">
                  <c:v>571</c:v>
                </c:pt>
                <c:pt idx="24">
                  <c:v>581</c:v>
                </c:pt>
                <c:pt idx="25">
                  <c:v>591</c:v>
                </c:pt>
                <c:pt idx="26">
                  <c:v>609</c:v>
                </c:pt>
                <c:pt idx="27">
                  <c:v>612</c:v>
                </c:pt>
                <c:pt idx="28">
                  <c:v>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D-41C1-A0F5-0264B7267DD7}"/>
            </c:ext>
          </c:extLst>
        </c:ser>
        <c:ser>
          <c:idx val="1"/>
          <c:order val="1"/>
          <c:tx>
            <c:strRef>
              <c:f>'Gap Trends'!$B$215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Trends'!$C$213:$AE$213</c:f>
              <c:strCache>
                <c:ptCount val="29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 25년 </c:v>
                </c:pt>
                <c:pt idx="9">
                  <c:v>25.1월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  <c:pt idx="13">
                  <c:v>5월</c:v>
                </c:pt>
                <c:pt idx="14">
                  <c:v>6월</c:v>
                </c:pt>
                <c:pt idx="15">
                  <c:v>7월</c:v>
                </c:pt>
                <c:pt idx="16">
                  <c:v>8월</c:v>
                </c:pt>
                <c:pt idx="17">
                  <c:v>9월</c:v>
                </c:pt>
                <c:pt idx="18">
                  <c:v>10월</c:v>
                </c:pt>
                <c:pt idx="19">
                  <c:v>11월</c:v>
                </c:pt>
                <c:pt idx="20">
                  <c:v>12월</c:v>
                </c:pt>
                <c:pt idx="21">
                  <c:v> 26년 경영계획 </c:v>
                </c:pt>
                <c:pt idx="22">
                  <c:v> 26.1월 </c:v>
                </c:pt>
                <c:pt idx="23">
                  <c:v>2월</c:v>
                </c:pt>
                <c:pt idx="24">
                  <c:v>3월</c:v>
                </c:pt>
                <c:pt idx="25">
                  <c:v>4월</c:v>
                </c:pt>
                <c:pt idx="26">
                  <c:v>5월</c:v>
                </c:pt>
                <c:pt idx="27">
                  <c:v>6월</c:v>
                </c:pt>
                <c:pt idx="28">
                  <c:v>7월</c:v>
                </c:pt>
              </c:strCache>
            </c:strRef>
          </c:cat>
          <c:val>
            <c:numRef>
              <c:f>'Gap Trends'!$C$215:$AE$215</c:f>
              <c:numCache>
                <c:formatCode>_(* #,##0_);_(* \(#,##0\);_(* "-"_);_(@_)</c:formatCode>
                <c:ptCount val="29"/>
                <c:pt idx="0">
                  <c:v>963</c:v>
                </c:pt>
                <c:pt idx="1">
                  <c:v>2099</c:v>
                </c:pt>
                <c:pt idx="2">
                  <c:v>1906</c:v>
                </c:pt>
                <c:pt idx="3">
                  <c:v>1556</c:v>
                </c:pt>
                <c:pt idx="4">
                  <c:v>1505</c:v>
                </c:pt>
                <c:pt idx="5">
                  <c:v>2427</c:v>
                </c:pt>
                <c:pt idx="6">
                  <c:v>2271</c:v>
                </c:pt>
                <c:pt idx="7">
                  <c:v>2086</c:v>
                </c:pt>
                <c:pt idx="8">
                  <c:v>1912</c:v>
                </c:pt>
                <c:pt idx="9">
                  <c:v>2112</c:v>
                </c:pt>
                <c:pt idx="10">
                  <c:v>2034</c:v>
                </c:pt>
                <c:pt idx="11">
                  <c:v>2041</c:v>
                </c:pt>
                <c:pt idx="12">
                  <c:v>1946</c:v>
                </c:pt>
                <c:pt idx="13">
                  <c:v>1877</c:v>
                </c:pt>
                <c:pt idx="14">
                  <c:v>1808</c:v>
                </c:pt>
                <c:pt idx="15">
                  <c:v>1839</c:v>
                </c:pt>
                <c:pt idx="16">
                  <c:v>1797</c:v>
                </c:pt>
                <c:pt idx="17">
                  <c:v>1679</c:v>
                </c:pt>
                <c:pt idx="18">
                  <c:v>1740</c:v>
                </c:pt>
                <c:pt idx="19">
                  <c:v>2015</c:v>
                </c:pt>
                <c:pt idx="20">
                  <c:v>2013</c:v>
                </c:pt>
                <c:pt idx="21">
                  <c:v>2005</c:v>
                </c:pt>
                <c:pt idx="22">
                  <c:v>1987</c:v>
                </c:pt>
                <c:pt idx="23">
                  <c:v>2007</c:v>
                </c:pt>
                <c:pt idx="24">
                  <c:v>2139</c:v>
                </c:pt>
                <c:pt idx="25">
                  <c:v>2041</c:v>
                </c:pt>
                <c:pt idx="26">
                  <c:v>2138</c:v>
                </c:pt>
                <c:pt idx="27">
                  <c:v>2265</c:v>
                </c:pt>
                <c:pt idx="28">
                  <c:v>2386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D-41C1-A0F5-0264B7267DD7}"/>
            </c:ext>
          </c:extLst>
        </c:ser>
        <c:ser>
          <c:idx val="2"/>
          <c:order val="2"/>
          <c:tx>
            <c:strRef>
              <c:f>'Gap Trends'!$B$216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Trends'!$C$213:$AE$213</c:f>
              <c:strCache>
                <c:ptCount val="29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 25년 </c:v>
                </c:pt>
                <c:pt idx="9">
                  <c:v>25.1월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  <c:pt idx="13">
                  <c:v>5월</c:v>
                </c:pt>
                <c:pt idx="14">
                  <c:v>6월</c:v>
                </c:pt>
                <c:pt idx="15">
                  <c:v>7월</c:v>
                </c:pt>
                <c:pt idx="16">
                  <c:v>8월</c:v>
                </c:pt>
                <c:pt idx="17">
                  <c:v>9월</c:v>
                </c:pt>
                <c:pt idx="18">
                  <c:v>10월</c:v>
                </c:pt>
                <c:pt idx="19">
                  <c:v>11월</c:v>
                </c:pt>
                <c:pt idx="20">
                  <c:v>12월</c:v>
                </c:pt>
                <c:pt idx="21">
                  <c:v> 26년 경영계획 </c:v>
                </c:pt>
                <c:pt idx="22">
                  <c:v> 26.1월 </c:v>
                </c:pt>
                <c:pt idx="23">
                  <c:v>2월</c:v>
                </c:pt>
                <c:pt idx="24">
                  <c:v>3월</c:v>
                </c:pt>
                <c:pt idx="25">
                  <c:v>4월</c:v>
                </c:pt>
                <c:pt idx="26">
                  <c:v>5월</c:v>
                </c:pt>
                <c:pt idx="27">
                  <c:v>6월</c:v>
                </c:pt>
                <c:pt idx="28">
                  <c:v>7월</c:v>
                </c:pt>
              </c:strCache>
            </c:strRef>
          </c:cat>
          <c:val>
            <c:numRef>
              <c:f>'Gap Trends'!$C$216:$AE$216</c:f>
              <c:numCache>
                <c:formatCode>_(* #,##0_);_(* \(#,##0\);_(* "-"_);_(@_)</c:formatCode>
                <c:ptCount val="29"/>
                <c:pt idx="0">
                  <c:v>1467</c:v>
                </c:pt>
                <c:pt idx="1">
                  <c:v>1477</c:v>
                </c:pt>
                <c:pt idx="2">
                  <c:v>1348</c:v>
                </c:pt>
                <c:pt idx="3">
                  <c:v>1120</c:v>
                </c:pt>
                <c:pt idx="4">
                  <c:v>1019</c:v>
                </c:pt>
                <c:pt idx="5">
                  <c:v>1761</c:v>
                </c:pt>
                <c:pt idx="6">
                  <c:v>1595</c:v>
                </c:pt>
                <c:pt idx="7">
                  <c:v>1455</c:v>
                </c:pt>
                <c:pt idx="8">
                  <c:v>1329</c:v>
                </c:pt>
                <c:pt idx="9">
                  <c:v>1491</c:v>
                </c:pt>
                <c:pt idx="10">
                  <c:v>1428</c:v>
                </c:pt>
                <c:pt idx="11">
                  <c:v>1442</c:v>
                </c:pt>
                <c:pt idx="12">
                  <c:v>1350</c:v>
                </c:pt>
                <c:pt idx="13">
                  <c:v>1277</c:v>
                </c:pt>
                <c:pt idx="14">
                  <c:v>1214</c:v>
                </c:pt>
                <c:pt idx="15">
                  <c:v>1262</c:v>
                </c:pt>
                <c:pt idx="16">
                  <c:v>1231</c:v>
                </c:pt>
                <c:pt idx="17">
                  <c:v>1126</c:v>
                </c:pt>
                <c:pt idx="18">
                  <c:v>1185</c:v>
                </c:pt>
                <c:pt idx="19">
                  <c:v>1454</c:v>
                </c:pt>
                <c:pt idx="20">
                  <c:v>1444</c:v>
                </c:pt>
                <c:pt idx="21">
                  <c:v>1461</c:v>
                </c:pt>
                <c:pt idx="22">
                  <c:v>1426</c:v>
                </c:pt>
                <c:pt idx="23">
                  <c:v>1442</c:v>
                </c:pt>
                <c:pt idx="24">
                  <c:v>1561</c:v>
                </c:pt>
                <c:pt idx="25">
                  <c:v>1457</c:v>
                </c:pt>
                <c:pt idx="26">
                  <c:v>1534</c:v>
                </c:pt>
                <c:pt idx="27">
                  <c:v>1654</c:v>
                </c:pt>
                <c:pt idx="28">
                  <c:v>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0D-41C1-A0F5-0264B7267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9943136"/>
        <c:axId val="-1789944224"/>
      </c:lineChart>
      <c:catAx>
        <c:axId val="-17899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89944224"/>
        <c:crosses val="autoZero"/>
        <c:auto val="1"/>
        <c:lblAlgn val="ctr"/>
        <c:lblOffset val="100"/>
        <c:noMultiLvlLbl val="0"/>
      </c:catAx>
      <c:valAx>
        <c:axId val="-178994422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-178994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'Gap Trends'!$B$179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Trends'!$C$178:$AE$178</c:f>
              <c:strCache>
                <c:ptCount val="29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</c:v>
                </c:pt>
                <c:pt idx="5">
                  <c:v> 22년 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25.1월 </c:v>
                </c:pt>
                <c:pt idx="10">
                  <c:v> 2월 </c:v>
                </c:pt>
                <c:pt idx="11">
                  <c:v> 3월 </c:v>
                </c:pt>
                <c:pt idx="12">
                  <c:v> 4월 </c:v>
                </c:pt>
                <c:pt idx="13">
                  <c:v> 5월 </c:v>
                </c:pt>
                <c:pt idx="14">
                  <c:v> 6월 </c:v>
                </c:pt>
                <c:pt idx="15">
                  <c:v> 7월 </c:v>
                </c:pt>
                <c:pt idx="16">
                  <c:v> 8월 </c:v>
                </c:pt>
                <c:pt idx="17">
                  <c:v> 9월 </c:v>
                </c:pt>
                <c:pt idx="18">
                  <c:v> 10월 </c:v>
                </c:pt>
                <c:pt idx="19">
                  <c:v> 11월 </c:v>
                </c:pt>
                <c:pt idx="20">
                  <c:v> 12월 </c:v>
                </c:pt>
                <c:pt idx="21">
                  <c:v> 26년 경영계획 </c:v>
                </c:pt>
                <c:pt idx="22">
                  <c:v> 26.1월 </c:v>
                </c:pt>
                <c:pt idx="23">
                  <c:v> 2월 </c:v>
                </c:pt>
                <c:pt idx="24">
                  <c:v> 3월 </c:v>
                </c:pt>
                <c:pt idx="25">
                  <c:v> 4월 </c:v>
                </c:pt>
                <c:pt idx="26">
                  <c:v> 5월 </c:v>
                </c:pt>
                <c:pt idx="27">
                  <c:v> 6월 </c:v>
                </c:pt>
                <c:pt idx="28">
                  <c:v> 7월 </c:v>
                </c:pt>
              </c:strCache>
            </c:strRef>
          </c:cat>
          <c:val>
            <c:numRef>
              <c:f>'Gap Trends'!$C$179:$AE$179</c:f>
              <c:numCache>
                <c:formatCode>_(* #,##0_);_(* \(#,##0\);_(* "-"_);_(@_)</c:formatCode>
                <c:ptCount val="29"/>
                <c:pt idx="0">
                  <c:v>509</c:v>
                </c:pt>
                <c:pt idx="1">
                  <c:v>639</c:v>
                </c:pt>
                <c:pt idx="2">
                  <c:v>576</c:v>
                </c:pt>
                <c:pt idx="3">
                  <c:v>463</c:v>
                </c:pt>
                <c:pt idx="4">
                  <c:v>500</c:v>
                </c:pt>
                <c:pt idx="5">
                  <c:v>713</c:v>
                </c:pt>
                <c:pt idx="6">
                  <c:v>739</c:v>
                </c:pt>
                <c:pt idx="7">
                  <c:v>696</c:v>
                </c:pt>
                <c:pt idx="8">
                  <c:v>690</c:v>
                </c:pt>
                <c:pt idx="9">
                  <c:v>692</c:v>
                </c:pt>
                <c:pt idx="10">
                  <c:v>656</c:v>
                </c:pt>
                <c:pt idx="11">
                  <c:v>657</c:v>
                </c:pt>
                <c:pt idx="12">
                  <c:v>682</c:v>
                </c:pt>
                <c:pt idx="13">
                  <c:v>696</c:v>
                </c:pt>
                <c:pt idx="14">
                  <c:v>716</c:v>
                </c:pt>
                <c:pt idx="15">
                  <c:v>660</c:v>
                </c:pt>
                <c:pt idx="16">
                  <c:v>640</c:v>
                </c:pt>
                <c:pt idx="17">
                  <c:v>658</c:v>
                </c:pt>
                <c:pt idx="18">
                  <c:v>687</c:v>
                </c:pt>
                <c:pt idx="19">
                  <c:v>757</c:v>
                </c:pt>
                <c:pt idx="20">
                  <c:v>788</c:v>
                </c:pt>
                <c:pt idx="21">
                  <c:v>616</c:v>
                </c:pt>
                <c:pt idx="22">
                  <c:v>752</c:v>
                </c:pt>
                <c:pt idx="23">
                  <c:v>794</c:v>
                </c:pt>
                <c:pt idx="24">
                  <c:v>787</c:v>
                </c:pt>
                <c:pt idx="25">
                  <c:v>827</c:v>
                </c:pt>
                <c:pt idx="26">
                  <c:v>881</c:v>
                </c:pt>
                <c:pt idx="27">
                  <c:v>855</c:v>
                </c:pt>
                <c:pt idx="28">
                  <c:v>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A-4B57-9FB2-9003D2431B35}"/>
            </c:ext>
          </c:extLst>
        </c:ser>
        <c:ser>
          <c:idx val="1"/>
          <c:order val="1"/>
          <c:tx>
            <c:strRef>
              <c:f>'Gap Trends'!$B$180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Trends'!$C$178:$AE$178</c:f>
              <c:strCache>
                <c:ptCount val="29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</c:v>
                </c:pt>
                <c:pt idx="5">
                  <c:v> 22년 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25.1월 </c:v>
                </c:pt>
                <c:pt idx="10">
                  <c:v> 2월 </c:v>
                </c:pt>
                <c:pt idx="11">
                  <c:v> 3월 </c:v>
                </c:pt>
                <c:pt idx="12">
                  <c:v> 4월 </c:v>
                </c:pt>
                <c:pt idx="13">
                  <c:v> 5월 </c:v>
                </c:pt>
                <c:pt idx="14">
                  <c:v> 6월 </c:v>
                </c:pt>
                <c:pt idx="15">
                  <c:v> 7월 </c:v>
                </c:pt>
                <c:pt idx="16">
                  <c:v> 8월 </c:v>
                </c:pt>
                <c:pt idx="17">
                  <c:v> 9월 </c:v>
                </c:pt>
                <c:pt idx="18">
                  <c:v> 10월 </c:v>
                </c:pt>
                <c:pt idx="19">
                  <c:v> 11월 </c:v>
                </c:pt>
                <c:pt idx="20">
                  <c:v> 12월 </c:v>
                </c:pt>
                <c:pt idx="21">
                  <c:v> 26년 경영계획 </c:v>
                </c:pt>
                <c:pt idx="22">
                  <c:v> 26.1월 </c:v>
                </c:pt>
                <c:pt idx="23">
                  <c:v> 2월 </c:v>
                </c:pt>
                <c:pt idx="24">
                  <c:v> 3월 </c:v>
                </c:pt>
                <c:pt idx="25">
                  <c:v> 4월 </c:v>
                </c:pt>
                <c:pt idx="26">
                  <c:v> 5월 </c:v>
                </c:pt>
                <c:pt idx="27">
                  <c:v> 6월 </c:v>
                </c:pt>
                <c:pt idx="28">
                  <c:v> 7월 </c:v>
                </c:pt>
              </c:strCache>
            </c:strRef>
          </c:cat>
          <c:val>
            <c:numRef>
              <c:f>'Gap Trends'!$C$180:$AE$180</c:f>
              <c:numCache>
                <c:formatCode>_(* #,##0_);_(* \(#,##0\);_(* "-"_);_(@_)</c:formatCode>
                <c:ptCount val="29"/>
                <c:pt idx="0">
                  <c:v>1686</c:v>
                </c:pt>
                <c:pt idx="1">
                  <c:v>2033</c:v>
                </c:pt>
                <c:pt idx="2">
                  <c:v>1966</c:v>
                </c:pt>
                <c:pt idx="3">
                  <c:v>1831</c:v>
                </c:pt>
                <c:pt idx="4">
                  <c:v>1718</c:v>
                </c:pt>
                <c:pt idx="5">
                  <c:v>2027</c:v>
                </c:pt>
                <c:pt idx="6">
                  <c:v>2216</c:v>
                </c:pt>
                <c:pt idx="7">
                  <c:v>2039</c:v>
                </c:pt>
                <c:pt idx="8">
                  <c:v>1943</c:v>
                </c:pt>
                <c:pt idx="9">
                  <c:v>1963</c:v>
                </c:pt>
                <c:pt idx="10">
                  <c:v>1948</c:v>
                </c:pt>
                <c:pt idx="11">
                  <c:v>1953</c:v>
                </c:pt>
                <c:pt idx="12">
                  <c:v>1987</c:v>
                </c:pt>
                <c:pt idx="13">
                  <c:v>1920</c:v>
                </c:pt>
                <c:pt idx="14">
                  <c:v>1922</c:v>
                </c:pt>
                <c:pt idx="15">
                  <c:v>1949</c:v>
                </c:pt>
                <c:pt idx="16">
                  <c:v>1928</c:v>
                </c:pt>
                <c:pt idx="17">
                  <c:v>1917</c:v>
                </c:pt>
                <c:pt idx="18">
                  <c:v>1913</c:v>
                </c:pt>
                <c:pt idx="19">
                  <c:v>1951</c:v>
                </c:pt>
                <c:pt idx="20">
                  <c:v>1966</c:v>
                </c:pt>
                <c:pt idx="21">
                  <c:v>1983</c:v>
                </c:pt>
                <c:pt idx="22">
                  <c:v>1943</c:v>
                </c:pt>
                <c:pt idx="23">
                  <c:v>1922</c:v>
                </c:pt>
                <c:pt idx="24">
                  <c:v>1964</c:v>
                </c:pt>
                <c:pt idx="25">
                  <c:v>2005</c:v>
                </c:pt>
                <c:pt idx="26">
                  <c:v>2023</c:v>
                </c:pt>
                <c:pt idx="27">
                  <c:v>2092</c:v>
                </c:pt>
                <c:pt idx="28">
                  <c:v>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A-4B57-9FB2-9003D2431B35}"/>
            </c:ext>
          </c:extLst>
        </c:ser>
        <c:ser>
          <c:idx val="2"/>
          <c:order val="2"/>
          <c:tx>
            <c:strRef>
              <c:f>'Gap Trends'!$B$181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Trends'!$C$178:$AE$178</c:f>
              <c:strCache>
                <c:ptCount val="29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</c:v>
                </c:pt>
                <c:pt idx="5">
                  <c:v> 22년 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25.1월 </c:v>
                </c:pt>
                <c:pt idx="10">
                  <c:v> 2월 </c:v>
                </c:pt>
                <c:pt idx="11">
                  <c:v> 3월 </c:v>
                </c:pt>
                <c:pt idx="12">
                  <c:v> 4월 </c:v>
                </c:pt>
                <c:pt idx="13">
                  <c:v> 5월 </c:v>
                </c:pt>
                <c:pt idx="14">
                  <c:v> 6월 </c:v>
                </c:pt>
                <c:pt idx="15">
                  <c:v> 7월 </c:v>
                </c:pt>
                <c:pt idx="16">
                  <c:v> 8월 </c:v>
                </c:pt>
                <c:pt idx="17">
                  <c:v> 9월 </c:v>
                </c:pt>
                <c:pt idx="18">
                  <c:v> 10월 </c:v>
                </c:pt>
                <c:pt idx="19">
                  <c:v> 11월 </c:v>
                </c:pt>
                <c:pt idx="20">
                  <c:v> 12월 </c:v>
                </c:pt>
                <c:pt idx="21">
                  <c:v> 26년 경영계획 </c:v>
                </c:pt>
                <c:pt idx="22">
                  <c:v> 26.1월 </c:v>
                </c:pt>
                <c:pt idx="23">
                  <c:v> 2월 </c:v>
                </c:pt>
                <c:pt idx="24">
                  <c:v> 3월 </c:v>
                </c:pt>
                <c:pt idx="25">
                  <c:v> 4월 </c:v>
                </c:pt>
                <c:pt idx="26">
                  <c:v> 5월 </c:v>
                </c:pt>
                <c:pt idx="27">
                  <c:v> 6월 </c:v>
                </c:pt>
                <c:pt idx="28">
                  <c:v> 7월 </c:v>
                </c:pt>
              </c:strCache>
            </c:strRef>
          </c:cat>
          <c:val>
            <c:numRef>
              <c:f>'Gap Trends'!$C$181:$AE$181</c:f>
              <c:numCache>
                <c:formatCode>_(* #,##0_);_(* \(#,##0\);_(* "-"_);_(@_)</c:formatCode>
                <c:ptCount val="29"/>
                <c:pt idx="0">
                  <c:v>1178</c:v>
                </c:pt>
                <c:pt idx="1">
                  <c:v>1394</c:v>
                </c:pt>
                <c:pt idx="2">
                  <c:v>1390</c:v>
                </c:pt>
                <c:pt idx="3">
                  <c:v>1368</c:v>
                </c:pt>
                <c:pt idx="4">
                  <c:v>1218</c:v>
                </c:pt>
                <c:pt idx="5">
                  <c:v>1314</c:v>
                </c:pt>
                <c:pt idx="6">
                  <c:v>1477</c:v>
                </c:pt>
                <c:pt idx="7">
                  <c:v>1343</c:v>
                </c:pt>
                <c:pt idx="8">
                  <c:v>1244</c:v>
                </c:pt>
                <c:pt idx="9">
                  <c:v>1273</c:v>
                </c:pt>
                <c:pt idx="10">
                  <c:v>1267</c:v>
                </c:pt>
                <c:pt idx="11">
                  <c:v>1281</c:v>
                </c:pt>
                <c:pt idx="12">
                  <c:v>1291</c:v>
                </c:pt>
                <c:pt idx="13">
                  <c:v>1207</c:v>
                </c:pt>
                <c:pt idx="14">
                  <c:v>1191</c:v>
                </c:pt>
                <c:pt idx="15">
                  <c:v>1273</c:v>
                </c:pt>
                <c:pt idx="16">
                  <c:v>1276</c:v>
                </c:pt>
                <c:pt idx="17">
                  <c:v>1257</c:v>
                </c:pt>
                <c:pt idx="18">
                  <c:v>1221</c:v>
                </c:pt>
                <c:pt idx="19">
                  <c:v>1196</c:v>
                </c:pt>
                <c:pt idx="20">
                  <c:v>1183</c:v>
                </c:pt>
                <c:pt idx="21">
                  <c:v>1363</c:v>
                </c:pt>
                <c:pt idx="22">
                  <c:v>1192</c:v>
                </c:pt>
                <c:pt idx="23">
                  <c:v>1140</c:v>
                </c:pt>
                <c:pt idx="24">
                  <c:v>1181</c:v>
                </c:pt>
                <c:pt idx="25">
                  <c:v>1175</c:v>
                </c:pt>
                <c:pt idx="26">
                  <c:v>1144</c:v>
                </c:pt>
                <c:pt idx="27">
                  <c:v>1248</c:v>
                </c:pt>
                <c:pt idx="28">
                  <c:v>1238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A-4B57-9FB2-9003D2431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9941504"/>
        <c:axId val="-1789943680"/>
      </c:lineChart>
      <c:catAx>
        <c:axId val="-178994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89943680"/>
        <c:crosses val="autoZero"/>
        <c:auto val="1"/>
        <c:lblAlgn val="ctr"/>
        <c:lblOffset val="100"/>
        <c:noMultiLvlLbl val="0"/>
      </c:catAx>
      <c:valAx>
        <c:axId val="-178994368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-178994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991560836020323E-2"/>
          <c:y val="0.12795022809103651"/>
          <c:w val="0.97400845908744393"/>
          <c:h val="0.76357559340169945"/>
        </c:manualLayout>
      </c:layout>
      <c:lineChart>
        <c:grouping val="standard"/>
        <c:varyColors val="0"/>
        <c:ser>
          <c:idx val="0"/>
          <c:order val="0"/>
          <c:tx>
            <c:strRef>
              <c:f>'Gap Trends'!$B$70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Trends'!$C$69:$S$69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Trends'!$C$70:$S$70</c:f>
              <c:numCache>
                <c:formatCode>_(* #,##0_);_(* \(#,##0\);_(* "-"_);_(@_)</c:formatCode>
                <c:ptCount val="17"/>
                <c:pt idx="0">
                  <c:v>300</c:v>
                </c:pt>
                <c:pt idx="1">
                  <c:v>376</c:v>
                </c:pt>
                <c:pt idx="2">
                  <c:v>334</c:v>
                </c:pt>
                <c:pt idx="3">
                  <c:v>269</c:v>
                </c:pt>
                <c:pt idx="4">
                  <c:v>318</c:v>
                </c:pt>
                <c:pt idx="5">
                  <c:v>443</c:v>
                </c:pt>
                <c:pt idx="6">
                  <c:v>436</c:v>
                </c:pt>
                <c:pt idx="7">
                  <c:v>430.08333333333331</c:v>
                </c:pt>
                <c:pt idx="8">
                  <c:v>376</c:v>
                </c:pt>
                <c:pt idx="9">
                  <c:v>374</c:v>
                </c:pt>
                <c:pt idx="10">
                  <c:v>425</c:v>
                </c:pt>
                <c:pt idx="11" formatCode="General">
                  <c:v>430</c:v>
                </c:pt>
                <c:pt idx="12" formatCode="General">
                  <c:v>439</c:v>
                </c:pt>
                <c:pt idx="13" formatCode="General">
                  <c:v>433</c:v>
                </c:pt>
                <c:pt idx="14">
                  <c:v>444</c:v>
                </c:pt>
                <c:pt idx="15">
                  <c:v>469</c:v>
                </c:pt>
                <c:pt idx="16">
                  <c:v>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D-41E1-9099-69EAD761CBBD}"/>
            </c:ext>
          </c:extLst>
        </c:ser>
        <c:ser>
          <c:idx val="1"/>
          <c:order val="1"/>
          <c:tx>
            <c:strRef>
              <c:f>'Gap Trends'!$B$71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Trends'!$C$69:$S$69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Trends'!$C$71:$S$71</c:f>
              <c:numCache>
                <c:formatCode>_(* #,##0_);_(* \(#,##0\);_(* "-"_);_(@_)</c:formatCode>
                <c:ptCount val="17"/>
                <c:pt idx="0">
                  <c:v>798</c:v>
                </c:pt>
                <c:pt idx="1">
                  <c:v>911</c:v>
                </c:pt>
                <c:pt idx="2">
                  <c:v>917</c:v>
                </c:pt>
                <c:pt idx="3">
                  <c:v>813</c:v>
                </c:pt>
                <c:pt idx="4">
                  <c:v>800</c:v>
                </c:pt>
                <c:pt idx="5">
                  <c:v>1163</c:v>
                </c:pt>
                <c:pt idx="6">
                  <c:v>1337</c:v>
                </c:pt>
                <c:pt idx="7">
                  <c:v>1291.1666666666667</c:v>
                </c:pt>
                <c:pt idx="8">
                  <c:v>1238</c:v>
                </c:pt>
                <c:pt idx="9">
                  <c:v>1310</c:v>
                </c:pt>
                <c:pt idx="10">
                  <c:v>1295</c:v>
                </c:pt>
                <c:pt idx="11" formatCode="General">
                  <c:v>1346</c:v>
                </c:pt>
                <c:pt idx="12" formatCode="General">
                  <c:v>1364</c:v>
                </c:pt>
                <c:pt idx="13" formatCode="General">
                  <c:v>1311</c:v>
                </c:pt>
                <c:pt idx="14">
                  <c:v>1333</c:v>
                </c:pt>
                <c:pt idx="15">
                  <c:v>1366</c:v>
                </c:pt>
                <c:pt idx="16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D-41E1-9099-69EAD761CBBD}"/>
            </c:ext>
          </c:extLst>
        </c:ser>
        <c:ser>
          <c:idx val="2"/>
          <c:order val="2"/>
          <c:tx>
            <c:strRef>
              <c:f>'Gap Trends'!$B$72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Trends'!$C$69:$S$69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Trends'!$C$72:$S$72</c:f>
              <c:numCache>
                <c:formatCode>_(* #,##0_);_(* \(#,##0\);_(* "-"_);_(@_)</c:formatCode>
                <c:ptCount val="17"/>
                <c:pt idx="0">
                  <c:v>498</c:v>
                </c:pt>
                <c:pt idx="1">
                  <c:v>534</c:v>
                </c:pt>
                <c:pt idx="2">
                  <c:v>583</c:v>
                </c:pt>
                <c:pt idx="3">
                  <c:v>544</c:v>
                </c:pt>
                <c:pt idx="4">
                  <c:v>483</c:v>
                </c:pt>
                <c:pt idx="5">
                  <c:v>720</c:v>
                </c:pt>
                <c:pt idx="6">
                  <c:v>901</c:v>
                </c:pt>
                <c:pt idx="7">
                  <c:v>861.25</c:v>
                </c:pt>
                <c:pt idx="8">
                  <c:v>832</c:v>
                </c:pt>
                <c:pt idx="9">
                  <c:v>946</c:v>
                </c:pt>
                <c:pt idx="10">
                  <c:v>885</c:v>
                </c:pt>
                <c:pt idx="11" formatCode="General">
                  <c:v>927</c:v>
                </c:pt>
                <c:pt idx="12" formatCode="General">
                  <c:v>941</c:v>
                </c:pt>
                <c:pt idx="13" formatCode="General">
                  <c:v>892</c:v>
                </c:pt>
                <c:pt idx="14">
                  <c:v>897</c:v>
                </c:pt>
                <c:pt idx="15">
                  <c:v>914</c:v>
                </c:pt>
                <c:pt idx="16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AD-41E1-9099-69EAD761C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56586208"/>
        <c:axId val="-1756591104"/>
      </c:lineChart>
      <c:catAx>
        <c:axId val="-175658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56591104"/>
        <c:crosses val="autoZero"/>
        <c:auto val="1"/>
        <c:lblAlgn val="ctr"/>
        <c:lblOffset val="100"/>
        <c:noMultiLvlLbl val="0"/>
      </c:catAx>
      <c:valAx>
        <c:axId val="-17565911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-175658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388843477751498E-2"/>
          <c:y val="0.15105875812331712"/>
          <c:w val="0.98761115652224851"/>
          <c:h val="0.7511321458244048"/>
        </c:manualLayout>
      </c:layout>
      <c:lineChart>
        <c:grouping val="standard"/>
        <c:varyColors val="0"/>
        <c:ser>
          <c:idx val="0"/>
          <c:order val="0"/>
          <c:tx>
            <c:strRef>
              <c:f>'Gap Trends'!$C$35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Trends'!$D$34:$T$34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26년 경영계획 </c:v>
                </c:pt>
                <c:pt idx="10">
                  <c:v> 26.1월 </c:v>
                </c:pt>
                <c:pt idx="11">
                  <c:v> 2월 </c:v>
                </c:pt>
                <c:pt idx="12">
                  <c:v> 3월 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Trends'!$D$35:$T$35</c:f>
              <c:numCache>
                <c:formatCode>_(* #,##0_);_(* \(#,##0\);_(* "-"_);_(@_)</c:formatCode>
                <c:ptCount val="17"/>
                <c:pt idx="0">
                  <c:v>372</c:v>
                </c:pt>
                <c:pt idx="1">
                  <c:v>461</c:v>
                </c:pt>
                <c:pt idx="2">
                  <c:v>430</c:v>
                </c:pt>
                <c:pt idx="3">
                  <c:v>344</c:v>
                </c:pt>
                <c:pt idx="4">
                  <c:v>397</c:v>
                </c:pt>
                <c:pt idx="5">
                  <c:v>525</c:v>
                </c:pt>
                <c:pt idx="6">
                  <c:v>588</c:v>
                </c:pt>
                <c:pt idx="7">
                  <c:v>553.91666666666663</c:v>
                </c:pt>
                <c:pt idx="8">
                  <c:v>529</c:v>
                </c:pt>
                <c:pt idx="9">
                  <c:v>444</c:v>
                </c:pt>
                <c:pt idx="10">
                  <c:v>467</c:v>
                </c:pt>
                <c:pt idx="11">
                  <c:v>484</c:v>
                </c:pt>
                <c:pt idx="12">
                  <c:v>473</c:v>
                </c:pt>
                <c:pt idx="13">
                  <c:v>510</c:v>
                </c:pt>
                <c:pt idx="14">
                  <c:v>495</c:v>
                </c:pt>
                <c:pt idx="15">
                  <c:v>500</c:v>
                </c:pt>
                <c:pt idx="16">
                  <c:v>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6-4906-A362-C872396A7AC1}"/>
            </c:ext>
          </c:extLst>
        </c:ser>
        <c:ser>
          <c:idx val="1"/>
          <c:order val="1"/>
          <c:tx>
            <c:strRef>
              <c:f>'Gap Trends'!$C$36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Trends'!$D$34:$T$34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26년 경영계획 </c:v>
                </c:pt>
                <c:pt idx="10">
                  <c:v> 26.1월 </c:v>
                </c:pt>
                <c:pt idx="11">
                  <c:v> 2월 </c:v>
                </c:pt>
                <c:pt idx="12">
                  <c:v> 3월 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Trends'!$D$36:$T$36</c:f>
              <c:numCache>
                <c:formatCode>_(* #,##0_);_(* \(#,##0\);_(* "-"_);_(@_)</c:formatCode>
                <c:ptCount val="17"/>
                <c:pt idx="0">
                  <c:v>987</c:v>
                </c:pt>
                <c:pt idx="1">
                  <c:v>1060</c:v>
                </c:pt>
                <c:pt idx="2">
                  <c:v>996</c:v>
                </c:pt>
                <c:pt idx="3">
                  <c:v>919</c:v>
                </c:pt>
                <c:pt idx="4">
                  <c:v>1050</c:v>
                </c:pt>
                <c:pt idx="5">
                  <c:v>1279</c:v>
                </c:pt>
                <c:pt idx="6">
                  <c:v>1350</c:v>
                </c:pt>
                <c:pt idx="7">
                  <c:v>1359.0833333333333</c:v>
                </c:pt>
                <c:pt idx="8">
                  <c:v>1290</c:v>
                </c:pt>
                <c:pt idx="9">
                  <c:v>1314</c:v>
                </c:pt>
                <c:pt idx="10">
                  <c:v>1228</c:v>
                </c:pt>
                <c:pt idx="11">
                  <c:v>1234</c:v>
                </c:pt>
                <c:pt idx="12">
                  <c:v>1234</c:v>
                </c:pt>
                <c:pt idx="13">
                  <c:v>1243</c:v>
                </c:pt>
                <c:pt idx="14">
                  <c:v>1213</c:v>
                </c:pt>
                <c:pt idx="15">
                  <c:v>1208</c:v>
                </c:pt>
                <c:pt idx="16">
                  <c:v>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6-4906-A362-C872396A7AC1}"/>
            </c:ext>
          </c:extLst>
        </c:ser>
        <c:ser>
          <c:idx val="2"/>
          <c:order val="2"/>
          <c:tx>
            <c:strRef>
              <c:f>'Gap Trends'!$C$37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Trends'!$D$34:$T$34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26년 경영계획 </c:v>
                </c:pt>
                <c:pt idx="10">
                  <c:v> 26.1월 </c:v>
                </c:pt>
                <c:pt idx="11">
                  <c:v> 2월 </c:v>
                </c:pt>
                <c:pt idx="12">
                  <c:v> 3월 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Trends'!$D$37:$T$37</c:f>
              <c:numCache>
                <c:formatCode>_(* #,##0_);_(* \(#,##0\);_(* "-"_);_(@_)</c:formatCode>
                <c:ptCount val="17"/>
                <c:pt idx="0">
                  <c:v>614</c:v>
                </c:pt>
                <c:pt idx="1">
                  <c:v>598</c:v>
                </c:pt>
                <c:pt idx="2">
                  <c:v>566</c:v>
                </c:pt>
                <c:pt idx="3">
                  <c:v>576</c:v>
                </c:pt>
                <c:pt idx="4">
                  <c:v>653</c:v>
                </c:pt>
                <c:pt idx="5">
                  <c:v>753</c:v>
                </c:pt>
                <c:pt idx="6">
                  <c:v>761</c:v>
                </c:pt>
                <c:pt idx="7">
                  <c:v>805</c:v>
                </c:pt>
                <c:pt idx="8">
                  <c:v>763</c:v>
                </c:pt>
                <c:pt idx="9">
                  <c:v>877</c:v>
                </c:pt>
                <c:pt idx="10">
                  <c:v>765</c:v>
                </c:pt>
                <c:pt idx="11">
                  <c:v>762</c:v>
                </c:pt>
                <c:pt idx="12">
                  <c:v>773</c:v>
                </c:pt>
                <c:pt idx="13">
                  <c:v>744</c:v>
                </c:pt>
                <c:pt idx="14">
                  <c:v>738</c:v>
                </c:pt>
                <c:pt idx="15">
                  <c:v>716</c:v>
                </c:pt>
                <c:pt idx="16">
                  <c:v>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D6-4906-A362-C872396A7A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756586752"/>
        <c:axId val="-1756592192"/>
      </c:lineChart>
      <c:catAx>
        <c:axId val="-17565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56592192"/>
        <c:crosses val="autoZero"/>
        <c:auto val="1"/>
        <c:lblAlgn val="ctr"/>
        <c:lblOffset val="100"/>
        <c:noMultiLvlLbl val="0"/>
      </c:catAx>
      <c:valAx>
        <c:axId val="-1756592192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-175658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val>
            <c:numRef>
              <c:f>'Gap Trends'!#REF!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'Gap Trends'!#REF!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'Gap Trends'!#REF!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F0-41BE-9B56-94D5CC8EE6AF}"/>
            </c:ext>
          </c:extLst>
        </c:ser>
        <c:ser>
          <c:idx val="1"/>
          <c:order val="1"/>
          <c:marker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val>
            <c:numRef>
              <c:f>'Gap Trends'!#REF!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'Gap Trends'!#REF!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'Gap Trends'!#REF!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F0-41BE-9B56-94D5CC8EE6AF}"/>
            </c:ext>
          </c:extLst>
        </c:ser>
        <c:ser>
          <c:idx val="2"/>
          <c:order val="2"/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val>
            <c:numRef>
              <c:f>'Gap Trends'!#REF!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'Gap Trends'!#REF!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'Gap Trends'!#REF!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F0-41BE-9B56-94D5CC8EE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56590016"/>
        <c:axId val="-1756590560"/>
      </c:lineChart>
      <c:catAx>
        <c:axId val="-1756590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500"/>
            </a:pPr>
            <a:endParaRPr lang="ko-KR"/>
          </a:p>
        </c:txPr>
        <c:crossAx val="-1756590560"/>
        <c:crosses val="autoZero"/>
        <c:auto val="1"/>
        <c:lblAlgn val="ctr"/>
        <c:lblOffset val="100"/>
        <c:noMultiLvlLbl val="0"/>
      </c:catAx>
      <c:valAx>
        <c:axId val="-17565905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75659001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50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1732098760059819E-2"/>
          <c:y val="0.12453690327240313"/>
          <c:w val="0.98395823854002151"/>
          <c:h val="0.80174886252398869"/>
        </c:manualLayout>
      </c:layout>
      <c:lineChart>
        <c:grouping val="standard"/>
        <c:varyColors val="0"/>
        <c:ser>
          <c:idx val="1"/>
          <c:order val="1"/>
          <c:tx>
            <c:strRef>
              <c:f>'Gap Trends'!$B$329</c:f>
              <c:strCache>
                <c:ptCount val="1"/>
                <c:pt idx="0">
                  <c:v>펄프가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dLbl>
              <c:idx val="0"/>
              <c:layout>
                <c:manualLayout>
                  <c:x val="-3.8490956072351423E-2"/>
                  <c:y val="5.7524923174878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A-49C8-B725-B01DE9BAF743}"/>
                </c:ext>
              </c:extLst>
            </c:dLbl>
            <c:dLbl>
              <c:idx val="4"/>
              <c:layout>
                <c:manualLayout>
                  <c:x val="-3.8490956072351423E-2"/>
                  <c:y val="6.0974685535146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A-49C8-B725-B01DE9BAF743}"/>
                </c:ext>
              </c:extLst>
            </c:dLbl>
            <c:dLbl>
              <c:idx val="5"/>
              <c:layout>
                <c:manualLayout>
                  <c:x val="-4.0558139534883721E-2"/>
                  <c:y val="4.7175636094075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A-49C8-B725-B01DE9BAF743}"/>
                </c:ext>
              </c:extLst>
            </c:dLbl>
            <c:dLbl>
              <c:idx val="6"/>
              <c:layout>
                <c:manualLayout>
                  <c:x val="-4.2625322997416018E-2"/>
                  <c:y val="4.02761113735405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A-49C8-B725-B01DE9BAF7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'Gap Trends'!$C$327:$S$327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Trends'!$C$329:$S$329</c:f>
              <c:numCache>
                <c:formatCode>General</c:formatCode>
                <c:ptCount val="17"/>
                <c:pt idx="0">
                  <c:v>579</c:v>
                </c:pt>
                <c:pt idx="1">
                  <c:v>732</c:v>
                </c:pt>
                <c:pt idx="2">
                  <c:v>699</c:v>
                </c:pt>
                <c:pt idx="3">
                  <c:v>550</c:v>
                </c:pt>
                <c:pt idx="4" formatCode="_(* #,##0_);_(* \(#,##0\);_(* &quot;-&quot;_);_(@_)">
                  <c:v>589.95933282246165</c:v>
                </c:pt>
                <c:pt idx="5" formatCode="_(* #,##0_);_(* \(#,##0\);_(* &quot;-&quot;_);_(@_)">
                  <c:v>794</c:v>
                </c:pt>
                <c:pt idx="6" formatCode="_(* #,##0_);_(* \(#,##0\);_(* &quot;-&quot;_);_(@_)">
                  <c:v>863.41666666666663</c:v>
                </c:pt>
                <c:pt idx="7" formatCode="_(* #,##0_);_(* \(#,##0\);_(* &quot;-&quot;_);_(@_)">
                  <c:v>753.83218617262082</c:v>
                </c:pt>
                <c:pt idx="8" formatCode="_(* #,##0_);_(* \(#,##0\);_(* &quot;-&quot;_);_(@_)">
                  <c:v>745</c:v>
                </c:pt>
                <c:pt idx="9" formatCode="_(* #,##0_);_(* \(#,##0\);_(* &quot;-&quot;_);_(@_)">
                  <c:v>687</c:v>
                </c:pt>
                <c:pt idx="10" formatCode="_(* #,##0_);_(* \(#,##0\);_(* &quot;-&quot;_);_(@_)">
                  <c:v>719</c:v>
                </c:pt>
                <c:pt idx="11">
                  <c:v>750</c:v>
                </c:pt>
                <c:pt idx="12">
                  <c:v>776</c:v>
                </c:pt>
                <c:pt idx="13">
                  <c:v>740</c:v>
                </c:pt>
                <c:pt idx="14">
                  <c:v>723</c:v>
                </c:pt>
                <c:pt idx="15">
                  <c:v>732</c:v>
                </c:pt>
                <c:pt idx="16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1A-49C8-B725-B01DE9BAF743}"/>
            </c:ext>
          </c:extLst>
        </c:ser>
        <c:ser>
          <c:idx val="2"/>
          <c:order val="2"/>
          <c:tx>
            <c:strRef>
              <c:f>'Gap Trends'!$B$330</c:f>
              <c:strCache>
                <c:ptCount val="1"/>
                <c:pt idx="0">
                  <c:v>Gap</c:v>
                </c:pt>
              </c:strCache>
            </c:strRef>
          </c:tx>
          <c:spPr>
            <a:ln w="38100"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3.8490956072351423E-2"/>
                  <c:y val="-2.8719135831812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A-49C8-B725-B01DE9BAF743}"/>
                </c:ext>
              </c:extLst>
            </c:dLbl>
            <c:dLbl>
              <c:idx val="2"/>
              <c:layout>
                <c:manualLayout>
                  <c:x val="-4.0558139534883721E-2"/>
                  <c:y val="-3.9068422912615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A-49C8-B725-B01DE9BAF7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'Gap Trends'!$C$327:$S$327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Trends'!$C$330:$S$330</c:f>
              <c:numCache>
                <c:formatCode>General</c:formatCode>
                <c:ptCount val="17"/>
                <c:pt idx="0">
                  <c:v>651</c:v>
                </c:pt>
                <c:pt idx="1">
                  <c:v>543</c:v>
                </c:pt>
                <c:pt idx="2">
                  <c:v>587</c:v>
                </c:pt>
                <c:pt idx="3">
                  <c:v>732</c:v>
                </c:pt>
                <c:pt idx="4" formatCode="_(* #,##0_);_(* \(#,##0\);_(* &quot;-&quot;_);_(@_)">
                  <c:v>821</c:v>
                </c:pt>
                <c:pt idx="5" formatCode="_(* #,##0_);_(* \(#,##0\);_(* &quot;-&quot;_);_(@_)">
                  <c:v>688</c:v>
                </c:pt>
                <c:pt idx="6" formatCode="_(* #,##0_);_(* \(#,##0\);_(* &quot;-&quot;_);_(@_)">
                  <c:v>629.75</c:v>
                </c:pt>
                <c:pt idx="7" formatCode="_(* #,##0_);_(* \(#,##0\);_(* &quot;-&quot;_);_(@_)">
                  <c:v>692.42284555156994</c:v>
                </c:pt>
                <c:pt idx="8" formatCode="_(* #,##0_);_(* \(#,##0\);_(* &quot;-&quot;_);_(@_)">
                  <c:v>720</c:v>
                </c:pt>
                <c:pt idx="9" formatCode="_(* #,##0_);_(* \(#,##0\);_(* &quot;-&quot;_);_(@_)">
                  <c:v>763</c:v>
                </c:pt>
                <c:pt idx="10" formatCode="_(* #,##0_);_(* \(#,##0\);_(* &quot;-&quot;_);_(@_)">
                  <c:v>734</c:v>
                </c:pt>
                <c:pt idx="11">
                  <c:v>693</c:v>
                </c:pt>
                <c:pt idx="12">
                  <c:v>681</c:v>
                </c:pt>
                <c:pt idx="13">
                  <c:v>719</c:v>
                </c:pt>
                <c:pt idx="14">
                  <c:v>777</c:v>
                </c:pt>
                <c:pt idx="15">
                  <c:v>758</c:v>
                </c:pt>
                <c:pt idx="16">
                  <c:v>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1A-49C8-B725-B01DE9BAF7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756591648"/>
        <c:axId val="-1756592736"/>
      </c:lineChart>
      <c:lineChart>
        <c:grouping val="standard"/>
        <c:varyColors val="0"/>
        <c:ser>
          <c:idx val="0"/>
          <c:order val="0"/>
          <c:tx>
            <c:strRef>
              <c:f>'Gap Trends'!$B$328</c:f>
              <c:strCache>
                <c:ptCount val="1"/>
                <c:pt idx="0">
                  <c:v>판매가</c:v>
                </c:pt>
              </c:strCache>
            </c:strRef>
          </c:tx>
          <c:spPr>
            <a:ln w="38100"/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0070C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'Gap Trends'!$C$327:$S$327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Trends'!$C$328:$S$328</c:f>
              <c:numCache>
                <c:formatCode>_(* #,##0_);_(* \(#,##0\);_(* "-"_);_(@_)</c:formatCode>
                <c:ptCount val="17"/>
                <c:pt idx="0">
                  <c:v>1230</c:v>
                </c:pt>
                <c:pt idx="1">
                  <c:v>1275</c:v>
                </c:pt>
                <c:pt idx="2">
                  <c:v>1286</c:v>
                </c:pt>
                <c:pt idx="3">
                  <c:v>1282</c:v>
                </c:pt>
                <c:pt idx="4">
                  <c:v>1411.4269045006477</c:v>
                </c:pt>
                <c:pt idx="5">
                  <c:v>1483</c:v>
                </c:pt>
                <c:pt idx="6">
                  <c:v>1493.0416666666667</c:v>
                </c:pt>
                <c:pt idx="7">
                  <c:v>1446.2550317241908</c:v>
                </c:pt>
                <c:pt idx="8">
                  <c:v>1465</c:v>
                </c:pt>
                <c:pt idx="9">
                  <c:v>1450</c:v>
                </c:pt>
                <c:pt idx="10">
                  <c:v>1453</c:v>
                </c:pt>
                <c:pt idx="11" formatCode="General">
                  <c:v>1442</c:v>
                </c:pt>
                <c:pt idx="12" formatCode="General">
                  <c:v>1458</c:v>
                </c:pt>
                <c:pt idx="13" formatCode="General">
                  <c:v>1458</c:v>
                </c:pt>
                <c:pt idx="14" formatCode="General">
                  <c:v>1499</c:v>
                </c:pt>
                <c:pt idx="15" formatCode="General">
                  <c:v>1490</c:v>
                </c:pt>
                <c:pt idx="16" formatCode="General">
                  <c:v>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1A-49C8-B725-B01DE9BAF7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756589472"/>
        <c:axId val="-1756593280"/>
      </c:lineChart>
      <c:catAx>
        <c:axId val="-175659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+mj-ea"/>
                <a:ea typeface="+mj-ea"/>
              </a:defRPr>
            </a:pPr>
            <a:endParaRPr lang="ko-KR"/>
          </a:p>
        </c:txPr>
        <c:crossAx val="-1756592736"/>
        <c:crosses val="autoZero"/>
        <c:auto val="1"/>
        <c:lblAlgn val="ctr"/>
        <c:lblOffset val="100"/>
        <c:noMultiLvlLbl val="0"/>
      </c:catAx>
      <c:valAx>
        <c:axId val="-1756592736"/>
        <c:scaling>
          <c:orientation val="minMax"/>
          <c:max val="1400"/>
          <c:min val="3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100">
                <a:solidFill>
                  <a:schemeClr val="bg1"/>
                </a:solidFill>
              </a:defRPr>
            </a:pPr>
            <a:endParaRPr lang="ko-KR"/>
          </a:p>
        </c:txPr>
        <c:crossAx val="-1756591648"/>
        <c:crosses val="autoZero"/>
        <c:crossBetween val="between"/>
      </c:valAx>
      <c:valAx>
        <c:axId val="-1756593280"/>
        <c:scaling>
          <c:orientation val="minMax"/>
          <c:max val="1600"/>
          <c:min val="9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100">
                <a:solidFill>
                  <a:schemeClr val="bg1"/>
                </a:solidFill>
              </a:defRPr>
            </a:pPr>
            <a:endParaRPr lang="ko-KR"/>
          </a:p>
        </c:txPr>
        <c:crossAx val="-1756589472"/>
        <c:crosses val="max"/>
        <c:crossBetween val="between"/>
      </c:valAx>
      <c:catAx>
        <c:axId val="-175658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5659328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overlay val="0"/>
      <c:txPr>
        <a:bodyPr/>
        <a:lstStyle/>
        <a:p>
          <a:pPr>
            <a:defRPr sz="150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418278749683995E-2"/>
          <c:y val="8.03472481069087E-2"/>
          <c:w val="0.969845334030767"/>
          <c:h val="0.75983754764111988"/>
        </c:manualLayout>
      </c:layout>
      <c:lineChart>
        <c:grouping val="standard"/>
        <c:varyColors val="0"/>
        <c:ser>
          <c:idx val="1"/>
          <c:order val="1"/>
          <c:tx>
            <c:strRef>
              <c:f>'Gap Trends'!$B$369</c:f>
              <c:strCache>
                <c:ptCount val="1"/>
                <c:pt idx="0">
                  <c:v>고지가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square"/>
            <c:size val="7"/>
            <c:spPr>
              <a:solidFill>
                <a:srgbClr val="C0000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'Gap Trends'!$C$367:$S$367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Trends'!$C$369:$S$369</c:f>
              <c:numCache>
                <c:formatCode>General</c:formatCode>
                <c:ptCount val="17"/>
                <c:pt idx="0">
                  <c:v>259</c:v>
                </c:pt>
                <c:pt idx="1">
                  <c:v>228</c:v>
                </c:pt>
                <c:pt idx="2">
                  <c:v>192</c:v>
                </c:pt>
                <c:pt idx="3">
                  <c:v>168</c:v>
                </c:pt>
                <c:pt idx="4">
                  <c:v>217</c:v>
                </c:pt>
                <c:pt idx="5">
                  <c:v>248</c:v>
                </c:pt>
                <c:pt idx="6" formatCode="_(* #,##0_);_(* \(#,##0\);_(* &quot;-&quot;_);_(@_)">
                  <c:v>216</c:v>
                </c:pt>
                <c:pt idx="7">
                  <c:v>220</c:v>
                </c:pt>
                <c:pt idx="8">
                  <c:v>208</c:v>
                </c:pt>
                <c:pt idx="9">
                  <c:v>213</c:v>
                </c:pt>
                <c:pt idx="10">
                  <c:v>200</c:v>
                </c:pt>
                <c:pt idx="11">
                  <c:v>200</c:v>
                </c:pt>
                <c:pt idx="12">
                  <c:v>198</c:v>
                </c:pt>
                <c:pt idx="13">
                  <c:v>200</c:v>
                </c:pt>
                <c:pt idx="14">
                  <c:v>195</c:v>
                </c:pt>
                <c:pt idx="15">
                  <c:v>198</c:v>
                </c:pt>
                <c:pt idx="16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4-4730-8BDF-4FBC42A569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756588928"/>
        <c:axId val="-1756587840"/>
      </c:lineChart>
      <c:lineChart>
        <c:grouping val="standard"/>
        <c:varyColors val="0"/>
        <c:ser>
          <c:idx val="0"/>
          <c:order val="0"/>
          <c:tx>
            <c:strRef>
              <c:f>'Gap Trends'!$B$368</c:f>
              <c:strCache>
                <c:ptCount val="1"/>
                <c:pt idx="0">
                  <c:v>판매가</c:v>
                </c:pt>
              </c:strCache>
            </c:strRef>
          </c:tx>
          <c:spPr>
            <a:ln w="38100">
              <a:solidFill>
                <a:schemeClr val="accent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0070C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'Gap Trends'!$C$367:$S$367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Trends'!$C$368:$S$368</c:f>
              <c:numCache>
                <c:formatCode>General</c:formatCode>
                <c:ptCount val="17"/>
                <c:pt idx="0">
                  <c:v>691</c:v>
                </c:pt>
                <c:pt idx="1">
                  <c:v>699</c:v>
                </c:pt>
                <c:pt idx="2">
                  <c:v>704</c:v>
                </c:pt>
                <c:pt idx="3">
                  <c:v>685</c:v>
                </c:pt>
                <c:pt idx="4">
                  <c:v>732</c:v>
                </c:pt>
                <c:pt idx="5">
                  <c:v>768</c:v>
                </c:pt>
                <c:pt idx="6" formatCode="_(* #,##0_);_(* \(#,##0\);_(* &quot;-&quot;_);_(@_)">
                  <c:v>740.41666666666663</c:v>
                </c:pt>
                <c:pt idx="7">
                  <c:v>783</c:v>
                </c:pt>
                <c:pt idx="8">
                  <c:v>758</c:v>
                </c:pt>
                <c:pt idx="9">
                  <c:v>803</c:v>
                </c:pt>
                <c:pt idx="10">
                  <c:v>730</c:v>
                </c:pt>
                <c:pt idx="11">
                  <c:v>834</c:v>
                </c:pt>
                <c:pt idx="12">
                  <c:v>835</c:v>
                </c:pt>
                <c:pt idx="13">
                  <c:v>832</c:v>
                </c:pt>
                <c:pt idx="14">
                  <c:v>827</c:v>
                </c:pt>
                <c:pt idx="15">
                  <c:v>820</c:v>
                </c:pt>
                <c:pt idx="16">
                  <c:v>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4-4730-8BDF-4FBC42A56964}"/>
            </c:ext>
          </c:extLst>
        </c:ser>
        <c:ser>
          <c:idx val="2"/>
          <c:order val="2"/>
          <c:tx>
            <c:strRef>
              <c:f>'Gap Trends'!$B$370</c:f>
              <c:strCache>
                <c:ptCount val="1"/>
                <c:pt idx="0">
                  <c:v>Gap</c:v>
                </c:pt>
              </c:strCache>
            </c:strRef>
          </c:tx>
          <c:spPr>
            <a:ln w="3810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Trends'!$C$367:$S$367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Trends'!$C$370:$S$370</c:f>
              <c:numCache>
                <c:formatCode>General</c:formatCode>
                <c:ptCount val="17"/>
                <c:pt idx="0">
                  <c:v>432</c:v>
                </c:pt>
                <c:pt idx="1">
                  <c:v>471</c:v>
                </c:pt>
                <c:pt idx="2">
                  <c:v>512</c:v>
                </c:pt>
                <c:pt idx="3">
                  <c:v>517</c:v>
                </c:pt>
                <c:pt idx="4">
                  <c:v>514</c:v>
                </c:pt>
                <c:pt idx="5">
                  <c:v>520</c:v>
                </c:pt>
                <c:pt idx="6" formatCode="_(* #,##0_);_(* \(#,##0\);_(* &quot;-&quot;_);_(@_)">
                  <c:v>524.33333333333337</c:v>
                </c:pt>
                <c:pt idx="7">
                  <c:v>562</c:v>
                </c:pt>
                <c:pt idx="8">
                  <c:v>550</c:v>
                </c:pt>
                <c:pt idx="9">
                  <c:v>590</c:v>
                </c:pt>
                <c:pt idx="10">
                  <c:v>530</c:v>
                </c:pt>
                <c:pt idx="11">
                  <c:v>633</c:v>
                </c:pt>
                <c:pt idx="12">
                  <c:v>637</c:v>
                </c:pt>
                <c:pt idx="13">
                  <c:v>632</c:v>
                </c:pt>
                <c:pt idx="14">
                  <c:v>632</c:v>
                </c:pt>
                <c:pt idx="15">
                  <c:v>622</c:v>
                </c:pt>
                <c:pt idx="16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4-4730-8BDF-4FBC42A569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756587296"/>
        <c:axId val="-1756588384"/>
      </c:lineChart>
      <c:catAx>
        <c:axId val="-1756588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ko-KR"/>
          </a:p>
        </c:txPr>
        <c:crossAx val="-1756587840"/>
        <c:crosses val="autoZero"/>
        <c:auto val="1"/>
        <c:lblAlgn val="ctr"/>
        <c:lblOffset val="100"/>
        <c:noMultiLvlLbl val="0"/>
      </c:catAx>
      <c:valAx>
        <c:axId val="-1756587840"/>
        <c:scaling>
          <c:orientation val="minMax"/>
          <c:max val="11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100">
                <a:solidFill>
                  <a:schemeClr val="bg1"/>
                </a:solidFill>
              </a:defRPr>
            </a:pPr>
            <a:endParaRPr lang="ko-KR"/>
          </a:p>
        </c:txPr>
        <c:crossAx val="-1756588928"/>
        <c:crosses val="autoZero"/>
        <c:crossBetween val="between"/>
      </c:valAx>
      <c:valAx>
        <c:axId val="-1756588384"/>
        <c:scaling>
          <c:orientation val="minMax"/>
          <c:max val="740"/>
          <c:min val="600"/>
        </c:scaling>
        <c:delete val="1"/>
        <c:axPos val="r"/>
        <c:numFmt formatCode="General" sourceLinked="1"/>
        <c:majorTickMark val="out"/>
        <c:minorTickMark val="none"/>
        <c:tickLblPos val="nextTo"/>
        <c:crossAx val="-1756587296"/>
        <c:crosses val="max"/>
        <c:crossBetween val="between"/>
      </c:valAx>
      <c:catAx>
        <c:axId val="-175658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56588384"/>
        <c:crosses val="autoZero"/>
        <c:auto val="1"/>
        <c:lblAlgn val="ctr"/>
        <c:lblOffset val="100"/>
        <c:noMultiLvlLbl val="0"/>
      </c:catAx>
    </c:plotArea>
    <c:legend>
      <c:legendPos val="t"/>
      <c:overlay val="0"/>
      <c:txPr>
        <a:bodyPr/>
        <a:lstStyle/>
        <a:p>
          <a:pPr rtl="0">
            <a:defRPr sz="150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2923568330036208E-2"/>
          <c:y val="0.10552741136517296"/>
          <c:w val="0.98370370465420209"/>
          <c:h val="0.80171890728487394"/>
        </c:manualLayout>
      </c:layout>
      <c:lineChart>
        <c:grouping val="standard"/>
        <c:varyColors val="0"/>
        <c:ser>
          <c:idx val="0"/>
          <c:order val="0"/>
          <c:tx>
            <c:strRef>
              <c:f>'Gap Trends'!$B$556</c:f>
              <c:strCache>
                <c:ptCount val="1"/>
                <c:pt idx="0">
                  <c:v>펄프가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dLbl>
              <c:idx val="7"/>
              <c:layout>
                <c:manualLayout>
                  <c:x val="-1.764338609480149E-2"/>
                  <c:y val="5.9690658380676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A4-4BB1-8B6D-F4886B8C9522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Trends'!$C$555:$S$555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Trends'!$C$556:$S$556</c:f>
              <c:numCache>
                <c:formatCode>General</c:formatCode>
                <c:ptCount val="17"/>
                <c:pt idx="0">
                  <c:v>519</c:v>
                </c:pt>
                <c:pt idx="1">
                  <c:v>623</c:v>
                </c:pt>
                <c:pt idx="2">
                  <c:v>664</c:v>
                </c:pt>
                <c:pt idx="3">
                  <c:v>561</c:v>
                </c:pt>
                <c:pt idx="4">
                  <c:v>600</c:v>
                </c:pt>
                <c:pt idx="5">
                  <c:v>721</c:v>
                </c:pt>
                <c:pt idx="6">
                  <c:v>816</c:v>
                </c:pt>
                <c:pt idx="7">
                  <c:v>781</c:v>
                </c:pt>
                <c:pt idx="8">
                  <c:v>759</c:v>
                </c:pt>
                <c:pt idx="9">
                  <c:v>681</c:v>
                </c:pt>
                <c:pt idx="10">
                  <c:v>757</c:v>
                </c:pt>
                <c:pt idx="11">
                  <c:v>724</c:v>
                </c:pt>
                <c:pt idx="12">
                  <c:v>714</c:v>
                </c:pt>
                <c:pt idx="13">
                  <c:v>697</c:v>
                </c:pt>
                <c:pt idx="14" formatCode="0">
                  <c:v>745</c:v>
                </c:pt>
                <c:pt idx="15">
                  <c:v>768</c:v>
                </c:pt>
                <c:pt idx="16">
                  <c:v>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4-4BB1-8B6D-F4886B8C9522}"/>
            </c:ext>
          </c:extLst>
        </c:ser>
        <c:ser>
          <c:idx val="1"/>
          <c:order val="1"/>
          <c:tx>
            <c:strRef>
              <c:f>'Gap Trends'!$B$557</c:f>
              <c:strCache>
                <c:ptCount val="1"/>
                <c:pt idx="0">
                  <c:v>판매가</c:v>
                </c:pt>
              </c:strCache>
            </c:strRef>
          </c:tx>
          <c:spPr>
            <a:ln w="38100"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Trends'!$C$555:$S$555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Trends'!$C$557:$S$557</c:f>
              <c:numCache>
                <c:formatCode>General</c:formatCode>
                <c:ptCount val="17"/>
                <c:pt idx="0">
                  <c:v>1615</c:v>
                </c:pt>
                <c:pt idx="1">
                  <c:v>1779</c:v>
                </c:pt>
                <c:pt idx="2">
                  <c:v>1831</c:v>
                </c:pt>
                <c:pt idx="3">
                  <c:v>1691</c:v>
                </c:pt>
                <c:pt idx="4">
                  <c:v>1572</c:v>
                </c:pt>
                <c:pt idx="5">
                  <c:v>1903</c:v>
                </c:pt>
                <c:pt idx="6">
                  <c:v>2271</c:v>
                </c:pt>
                <c:pt idx="7">
                  <c:v>2377</c:v>
                </c:pt>
                <c:pt idx="8">
                  <c:v>2591</c:v>
                </c:pt>
                <c:pt idx="9">
                  <c:v>2519</c:v>
                </c:pt>
                <c:pt idx="10">
                  <c:v>2936</c:v>
                </c:pt>
                <c:pt idx="11">
                  <c:v>2757</c:v>
                </c:pt>
                <c:pt idx="12">
                  <c:v>2651</c:v>
                </c:pt>
                <c:pt idx="13">
                  <c:v>2322</c:v>
                </c:pt>
                <c:pt idx="14" formatCode="0">
                  <c:v>2412</c:v>
                </c:pt>
                <c:pt idx="15">
                  <c:v>2447</c:v>
                </c:pt>
                <c:pt idx="16">
                  <c:v>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4-4BB1-8B6D-F4886B8C9522}"/>
            </c:ext>
          </c:extLst>
        </c:ser>
        <c:ser>
          <c:idx val="2"/>
          <c:order val="2"/>
          <c:tx>
            <c:strRef>
              <c:f>'Gap Trends'!$B$558</c:f>
              <c:strCache>
                <c:ptCount val="1"/>
                <c:pt idx="0">
                  <c:v>Gap</c:v>
                </c:pt>
              </c:strCache>
            </c:strRef>
          </c:tx>
          <c:spPr>
            <a:ln w="38100"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Trends'!$C$555:$S$555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Trends'!$C$558:$S$558</c:f>
              <c:numCache>
                <c:formatCode>General</c:formatCode>
                <c:ptCount val="17"/>
                <c:pt idx="0">
                  <c:v>1096</c:v>
                </c:pt>
                <c:pt idx="1">
                  <c:v>1156</c:v>
                </c:pt>
                <c:pt idx="2">
                  <c:v>1167</c:v>
                </c:pt>
                <c:pt idx="3">
                  <c:v>1129</c:v>
                </c:pt>
                <c:pt idx="4">
                  <c:v>1029</c:v>
                </c:pt>
                <c:pt idx="5">
                  <c:v>1183</c:v>
                </c:pt>
                <c:pt idx="6">
                  <c:v>1455</c:v>
                </c:pt>
                <c:pt idx="7">
                  <c:v>1596</c:v>
                </c:pt>
                <c:pt idx="8">
                  <c:v>1833</c:v>
                </c:pt>
                <c:pt idx="9">
                  <c:v>1838</c:v>
                </c:pt>
                <c:pt idx="10">
                  <c:v>2179</c:v>
                </c:pt>
                <c:pt idx="11">
                  <c:v>2033</c:v>
                </c:pt>
                <c:pt idx="12">
                  <c:v>1937</c:v>
                </c:pt>
                <c:pt idx="13">
                  <c:v>1625</c:v>
                </c:pt>
                <c:pt idx="14" formatCode="0">
                  <c:v>1667</c:v>
                </c:pt>
                <c:pt idx="15">
                  <c:v>1678</c:v>
                </c:pt>
                <c:pt idx="16">
                  <c:v>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A4-4BB1-8B6D-F4886B8C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7377216"/>
        <c:axId val="-1787379392"/>
      </c:lineChart>
      <c:catAx>
        <c:axId val="-1787377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ko-KR"/>
          </a:p>
        </c:txPr>
        <c:crossAx val="-1787379392"/>
        <c:crosses val="autoZero"/>
        <c:auto val="1"/>
        <c:lblAlgn val="ctr"/>
        <c:lblOffset val="100"/>
        <c:noMultiLvlLbl val="0"/>
      </c:catAx>
      <c:valAx>
        <c:axId val="-17873793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78737721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50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'Gap Trends'!$B$142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154-4AE5-91F0-14F57D26EE8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154-4AE5-91F0-14F57D26EE8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54-4AE5-91F0-14F57D26EE80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154-4AE5-91F0-14F57D26EE8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154-4AE5-91F0-14F57D26EE80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154-4AE5-91F0-14F57D26EE80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154-4AE5-91F0-14F57D26EE80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154-4AE5-91F0-14F57D26EE80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154-4AE5-91F0-14F57D26EE80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154-4AE5-91F0-14F57D26EE80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154-4AE5-91F0-14F57D26EE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Trends'!$C$141:$S$141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 2월 </c:v>
                </c:pt>
                <c:pt idx="12">
                  <c:v> 3월 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 7월 </c:v>
                </c:pt>
              </c:strCache>
            </c:strRef>
          </c:cat>
          <c:val>
            <c:numRef>
              <c:f>'Gap Trends'!$C$142:$S$142</c:f>
              <c:numCache>
                <c:formatCode>_(* #,##0_);_(* \(#,##0\);_(* "-"_);_(@_)</c:formatCode>
                <c:ptCount val="17"/>
                <c:pt idx="0">
                  <c:v>481</c:v>
                </c:pt>
                <c:pt idx="1">
                  <c:v>604</c:v>
                </c:pt>
                <c:pt idx="2">
                  <c:v>541</c:v>
                </c:pt>
                <c:pt idx="3">
                  <c:v>438</c:v>
                </c:pt>
                <c:pt idx="4">
                  <c:v>498</c:v>
                </c:pt>
                <c:pt idx="5">
                  <c:v>678</c:v>
                </c:pt>
                <c:pt idx="6">
                  <c:v>703</c:v>
                </c:pt>
                <c:pt idx="7">
                  <c:v>661.5</c:v>
                </c:pt>
                <c:pt idx="8">
                  <c:v>604</c:v>
                </c:pt>
                <c:pt idx="9">
                  <c:v>558</c:v>
                </c:pt>
                <c:pt idx="10">
                  <c:v>598</c:v>
                </c:pt>
                <c:pt idx="11">
                  <c:v>596</c:v>
                </c:pt>
                <c:pt idx="12">
                  <c:v>611</c:v>
                </c:pt>
                <c:pt idx="13">
                  <c:v>618</c:v>
                </c:pt>
                <c:pt idx="14">
                  <c:v>635</c:v>
                </c:pt>
                <c:pt idx="15">
                  <c:v>633</c:v>
                </c:pt>
                <c:pt idx="16">
                  <c:v>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54-4AE5-91F0-14F57D26EE80}"/>
            </c:ext>
          </c:extLst>
        </c:ser>
        <c:ser>
          <c:idx val="1"/>
          <c:order val="1"/>
          <c:tx>
            <c:strRef>
              <c:f>'Gap Trends'!$B$143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154-4AE5-91F0-14F57D26EE8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154-4AE5-91F0-14F57D26EE8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154-4AE5-91F0-14F57D26EE80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154-4AE5-91F0-14F57D26EE8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154-4AE5-91F0-14F57D26EE80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154-4AE5-91F0-14F57D26EE80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154-4AE5-91F0-14F57D26EE80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154-4AE5-91F0-14F57D26EE80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154-4AE5-91F0-14F57D26EE80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154-4AE5-91F0-14F57D26EE80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154-4AE5-91F0-14F57D26EE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Trends'!$C$141:$S$141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 2월 </c:v>
                </c:pt>
                <c:pt idx="12">
                  <c:v> 3월 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 7월 </c:v>
                </c:pt>
              </c:strCache>
            </c:strRef>
          </c:cat>
          <c:val>
            <c:numRef>
              <c:f>'Gap Trends'!$C$143:$S$143</c:f>
              <c:numCache>
                <c:formatCode>_(* #,##0_);_(* \(#,##0\);_(* "-"_);_(@_)</c:formatCode>
                <c:ptCount val="17"/>
                <c:pt idx="0">
                  <c:v>1455</c:v>
                </c:pt>
                <c:pt idx="1">
                  <c:v>2060</c:v>
                </c:pt>
                <c:pt idx="2">
                  <c:v>1855</c:v>
                </c:pt>
                <c:pt idx="3">
                  <c:v>1541</c:v>
                </c:pt>
                <c:pt idx="4">
                  <c:v>1495</c:v>
                </c:pt>
                <c:pt idx="5">
                  <c:v>2325</c:v>
                </c:pt>
                <c:pt idx="6">
                  <c:v>2271</c:v>
                </c:pt>
                <c:pt idx="7">
                  <c:v>2104.1666666666665</c:v>
                </c:pt>
                <c:pt idx="8">
                  <c:v>2023</c:v>
                </c:pt>
                <c:pt idx="9">
                  <c:v>2096</c:v>
                </c:pt>
                <c:pt idx="10">
                  <c:v>2046</c:v>
                </c:pt>
                <c:pt idx="11">
                  <c:v>2071</c:v>
                </c:pt>
                <c:pt idx="12">
                  <c:v>2269</c:v>
                </c:pt>
                <c:pt idx="13">
                  <c:v>2136</c:v>
                </c:pt>
                <c:pt idx="14">
                  <c:v>2227</c:v>
                </c:pt>
                <c:pt idx="15">
                  <c:v>2286</c:v>
                </c:pt>
                <c:pt idx="16">
                  <c:v>2314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154-4AE5-91F0-14F57D26EE80}"/>
            </c:ext>
          </c:extLst>
        </c:ser>
        <c:ser>
          <c:idx val="2"/>
          <c:order val="2"/>
          <c:tx>
            <c:strRef>
              <c:f>'Gap Trends'!$B$144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Trends'!$C$141:$S$141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 2월 </c:v>
                </c:pt>
                <c:pt idx="12">
                  <c:v> 3월 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 7월 </c:v>
                </c:pt>
              </c:strCache>
            </c:strRef>
          </c:cat>
          <c:val>
            <c:numRef>
              <c:f>'Gap Trends'!$C$144:$S$144</c:f>
              <c:numCache>
                <c:formatCode>_(* #,##0_);_(* \(#,##0\);_(* "-"_);_(@_)</c:formatCode>
                <c:ptCount val="17"/>
                <c:pt idx="0">
                  <c:v>974</c:v>
                </c:pt>
                <c:pt idx="1">
                  <c:v>1456</c:v>
                </c:pt>
                <c:pt idx="2">
                  <c:v>1314</c:v>
                </c:pt>
                <c:pt idx="3">
                  <c:v>1223</c:v>
                </c:pt>
                <c:pt idx="4">
                  <c:v>996</c:v>
                </c:pt>
                <c:pt idx="5">
                  <c:v>1647</c:v>
                </c:pt>
                <c:pt idx="6">
                  <c:v>1568</c:v>
                </c:pt>
                <c:pt idx="7">
                  <c:v>1442.6666666666667</c:v>
                </c:pt>
                <c:pt idx="8">
                  <c:v>1398</c:v>
                </c:pt>
                <c:pt idx="9">
                  <c:v>1525</c:v>
                </c:pt>
                <c:pt idx="10">
                  <c:v>1451</c:v>
                </c:pt>
                <c:pt idx="11">
                  <c:v>1478</c:v>
                </c:pt>
                <c:pt idx="12">
                  <c:v>1658</c:v>
                </c:pt>
                <c:pt idx="13">
                  <c:v>1519</c:v>
                </c:pt>
                <c:pt idx="14">
                  <c:v>1594</c:v>
                </c:pt>
                <c:pt idx="15">
                  <c:v>1648</c:v>
                </c:pt>
                <c:pt idx="16">
                  <c:v>1653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154-4AE5-91F0-14F57D26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7378304"/>
        <c:axId val="-1787378848"/>
      </c:lineChart>
      <c:catAx>
        <c:axId val="-17873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87378848"/>
        <c:crosses val="autoZero"/>
        <c:auto val="1"/>
        <c:lblAlgn val="ctr"/>
        <c:lblOffset val="100"/>
        <c:noMultiLvlLbl val="0"/>
      </c:catAx>
      <c:valAx>
        <c:axId val="-178737884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-178737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'Gap Trends'!$B$107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Trends'!$C$106:$S$106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 2월 </c:v>
                </c:pt>
                <c:pt idx="12">
                  <c:v> 3월 </c:v>
                </c:pt>
                <c:pt idx="13">
                  <c:v> 4월 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Trends'!$C$107:$S$107</c:f>
              <c:numCache>
                <c:formatCode>_(* #,##0_);_(* \(#,##0\);_(* "-"_);_(@_)</c:formatCode>
                <c:ptCount val="17"/>
                <c:pt idx="0">
                  <c:v>482</c:v>
                </c:pt>
                <c:pt idx="1">
                  <c:v>615</c:v>
                </c:pt>
                <c:pt idx="2">
                  <c:v>573</c:v>
                </c:pt>
                <c:pt idx="3">
                  <c:v>445</c:v>
                </c:pt>
                <c:pt idx="4">
                  <c:v>567</c:v>
                </c:pt>
                <c:pt idx="5">
                  <c:v>757</c:v>
                </c:pt>
                <c:pt idx="6">
                  <c:v>811</c:v>
                </c:pt>
                <c:pt idx="7">
                  <c:v>744.75</c:v>
                </c:pt>
                <c:pt idx="8">
                  <c:v>743</c:v>
                </c:pt>
                <c:pt idx="9">
                  <c:v>635</c:v>
                </c:pt>
                <c:pt idx="10">
                  <c:v>732</c:v>
                </c:pt>
                <c:pt idx="11">
                  <c:v>750</c:v>
                </c:pt>
                <c:pt idx="12">
                  <c:v>751</c:v>
                </c:pt>
                <c:pt idx="13">
                  <c:v>772</c:v>
                </c:pt>
                <c:pt idx="14">
                  <c:v>826</c:v>
                </c:pt>
                <c:pt idx="15">
                  <c:v>802</c:v>
                </c:pt>
                <c:pt idx="16">
                  <c:v>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B-4B4B-A257-9BF0B4CB93DD}"/>
            </c:ext>
          </c:extLst>
        </c:ser>
        <c:ser>
          <c:idx val="1"/>
          <c:order val="1"/>
          <c:tx>
            <c:strRef>
              <c:f>'Gap Trends'!$B$108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Trends'!$C$106:$S$106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 2월 </c:v>
                </c:pt>
                <c:pt idx="12">
                  <c:v> 3월 </c:v>
                </c:pt>
                <c:pt idx="13">
                  <c:v> 4월 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Trends'!$C$108:$S$108</c:f>
              <c:numCache>
                <c:formatCode>_(* #,##0_);_(* \(#,##0\);_(* "-"_);_(@_)</c:formatCode>
                <c:ptCount val="17"/>
                <c:pt idx="0">
                  <c:v>1607</c:v>
                </c:pt>
                <c:pt idx="1">
                  <c:v>1992</c:v>
                </c:pt>
                <c:pt idx="2">
                  <c:v>1939</c:v>
                </c:pt>
                <c:pt idx="3">
                  <c:v>1795</c:v>
                </c:pt>
                <c:pt idx="4">
                  <c:v>1729</c:v>
                </c:pt>
                <c:pt idx="5">
                  <c:v>1976</c:v>
                </c:pt>
                <c:pt idx="6">
                  <c:v>2182</c:v>
                </c:pt>
                <c:pt idx="7">
                  <c:v>2062.4166666666665</c:v>
                </c:pt>
                <c:pt idx="8">
                  <c:v>1989</c:v>
                </c:pt>
                <c:pt idx="9">
                  <c:v>2053</c:v>
                </c:pt>
                <c:pt idx="10">
                  <c:v>2004</c:v>
                </c:pt>
                <c:pt idx="11">
                  <c:v>1972</c:v>
                </c:pt>
                <c:pt idx="12">
                  <c:v>1982</c:v>
                </c:pt>
                <c:pt idx="13">
                  <c:v>1993</c:v>
                </c:pt>
                <c:pt idx="14">
                  <c:v>2026</c:v>
                </c:pt>
                <c:pt idx="15">
                  <c:v>2093</c:v>
                </c:pt>
                <c:pt idx="16">
                  <c:v>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B-4B4B-A257-9BF0B4CB93DD}"/>
            </c:ext>
          </c:extLst>
        </c:ser>
        <c:ser>
          <c:idx val="2"/>
          <c:order val="2"/>
          <c:tx>
            <c:strRef>
              <c:f>'Gap Trends'!$B$109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Trends'!$C$106:$S$106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 2월 </c:v>
                </c:pt>
                <c:pt idx="12">
                  <c:v> 3월 </c:v>
                </c:pt>
                <c:pt idx="13">
                  <c:v> 4월 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Trends'!$C$109:$S$109</c:f>
              <c:numCache>
                <c:formatCode>_(* #,##0_);_(* \(#,##0\);_(* "-"_);_(@_)</c:formatCode>
                <c:ptCount val="17"/>
                <c:pt idx="0">
                  <c:v>1125</c:v>
                </c:pt>
                <c:pt idx="1">
                  <c:v>1377</c:v>
                </c:pt>
                <c:pt idx="2">
                  <c:v>1366</c:v>
                </c:pt>
                <c:pt idx="3">
                  <c:v>1351</c:v>
                </c:pt>
                <c:pt idx="4">
                  <c:v>1162</c:v>
                </c:pt>
                <c:pt idx="5">
                  <c:v>1219</c:v>
                </c:pt>
                <c:pt idx="6">
                  <c:v>1371</c:v>
                </c:pt>
                <c:pt idx="7">
                  <c:v>1317.5833333333333</c:v>
                </c:pt>
                <c:pt idx="8">
                  <c:v>1255</c:v>
                </c:pt>
                <c:pt idx="9">
                  <c:v>1416</c:v>
                </c:pt>
                <c:pt idx="10">
                  <c:v>1283</c:v>
                </c:pt>
                <c:pt idx="11">
                  <c:v>1239</c:v>
                </c:pt>
                <c:pt idx="12">
                  <c:v>1249</c:v>
                </c:pt>
                <c:pt idx="13">
                  <c:v>1238</c:v>
                </c:pt>
                <c:pt idx="14">
                  <c:v>1216</c:v>
                </c:pt>
                <c:pt idx="15">
                  <c:v>1306</c:v>
                </c:pt>
                <c:pt idx="16">
                  <c:v>1211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2B-4B4B-A257-9BF0B4CB9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7376672"/>
        <c:axId val="-1787377760"/>
      </c:lineChart>
      <c:catAx>
        <c:axId val="-178737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87377760"/>
        <c:crosses val="autoZero"/>
        <c:auto val="1"/>
        <c:lblAlgn val="ctr"/>
        <c:lblOffset val="100"/>
        <c:noMultiLvlLbl val="0"/>
      </c:catAx>
      <c:valAx>
        <c:axId val="-178737776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-17873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93511592590581E-3"/>
          <c:y val="0.1279502907788562"/>
          <c:w val="0.99387065399930041"/>
          <c:h val="0.76357547756813826"/>
        </c:manualLayout>
      </c:layout>
      <c:lineChart>
        <c:grouping val="standard"/>
        <c:varyColors val="0"/>
        <c:ser>
          <c:idx val="0"/>
          <c:order val="0"/>
          <c:tx>
            <c:strRef>
              <c:f>'Gap Trends'!$B$286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Trends'!$C$285:$AE$285</c:f>
              <c:strCache>
                <c:ptCount val="29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25.1월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  <c:pt idx="13">
                  <c:v>5월</c:v>
                </c:pt>
                <c:pt idx="14">
                  <c:v>6월</c:v>
                </c:pt>
                <c:pt idx="15">
                  <c:v>7월</c:v>
                </c:pt>
                <c:pt idx="16">
                  <c:v>8월</c:v>
                </c:pt>
                <c:pt idx="17">
                  <c:v>9월</c:v>
                </c:pt>
                <c:pt idx="18">
                  <c:v>10월</c:v>
                </c:pt>
                <c:pt idx="19">
                  <c:v>11월</c:v>
                </c:pt>
                <c:pt idx="20">
                  <c:v>12월</c:v>
                </c:pt>
                <c:pt idx="21">
                  <c:v>26년 경영계획</c:v>
                </c:pt>
                <c:pt idx="22">
                  <c:v>26.01월</c:v>
                </c:pt>
                <c:pt idx="23">
                  <c:v>2월</c:v>
                </c:pt>
                <c:pt idx="24">
                  <c:v>3월</c:v>
                </c:pt>
                <c:pt idx="25">
                  <c:v>4월</c:v>
                </c:pt>
                <c:pt idx="26">
                  <c:v>5월</c:v>
                </c:pt>
                <c:pt idx="27">
                  <c:v>6월</c:v>
                </c:pt>
                <c:pt idx="28">
                  <c:v>7월</c:v>
                </c:pt>
              </c:strCache>
            </c:strRef>
          </c:cat>
          <c:val>
            <c:numRef>
              <c:f>'Gap Trends'!$C$286:$AE$286</c:f>
              <c:numCache>
                <c:formatCode>_(* #,##0_);_(* \(#,##0\);_(* "-"_);_(@_)</c:formatCode>
                <c:ptCount val="29"/>
                <c:pt idx="0">
                  <c:v>544</c:v>
                </c:pt>
                <c:pt idx="1">
                  <c:v>682</c:v>
                </c:pt>
                <c:pt idx="2">
                  <c:v>656</c:v>
                </c:pt>
                <c:pt idx="3">
                  <c:v>519</c:v>
                </c:pt>
                <c:pt idx="4">
                  <c:v>558</c:v>
                </c:pt>
                <c:pt idx="5">
                  <c:v>734</c:v>
                </c:pt>
                <c:pt idx="6">
                  <c:v>797</c:v>
                </c:pt>
                <c:pt idx="7">
                  <c:v>716</c:v>
                </c:pt>
                <c:pt idx="8">
                  <c:v>694</c:v>
                </c:pt>
                <c:pt idx="9">
                  <c:v>727</c:v>
                </c:pt>
                <c:pt idx="10">
                  <c:v>710</c:v>
                </c:pt>
                <c:pt idx="11">
                  <c:v>706</c:v>
                </c:pt>
                <c:pt idx="12">
                  <c:v>696</c:v>
                </c:pt>
                <c:pt idx="13">
                  <c:v>699</c:v>
                </c:pt>
                <c:pt idx="14">
                  <c:v>712</c:v>
                </c:pt>
                <c:pt idx="15">
                  <c:v>713</c:v>
                </c:pt>
                <c:pt idx="16">
                  <c:v>699</c:v>
                </c:pt>
                <c:pt idx="17">
                  <c:v>674</c:v>
                </c:pt>
                <c:pt idx="18">
                  <c:v>669</c:v>
                </c:pt>
                <c:pt idx="19">
                  <c:v>672</c:v>
                </c:pt>
                <c:pt idx="20">
                  <c:v>649</c:v>
                </c:pt>
                <c:pt idx="21">
                  <c:v>620</c:v>
                </c:pt>
                <c:pt idx="22">
                  <c:v>650</c:v>
                </c:pt>
                <c:pt idx="23">
                  <c:v>649</c:v>
                </c:pt>
                <c:pt idx="24">
                  <c:v>656</c:v>
                </c:pt>
                <c:pt idx="25">
                  <c:v>651</c:v>
                </c:pt>
                <c:pt idx="26">
                  <c:v>669</c:v>
                </c:pt>
                <c:pt idx="27">
                  <c:v>665</c:v>
                </c:pt>
                <c:pt idx="28">
                  <c:v>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B-42D2-A5D3-48132BCAB3E1}"/>
            </c:ext>
          </c:extLst>
        </c:ser>
        <c:ser>
          <c:idx val="1"/>
          <c:order val="1"/>
          <c:tx>
            <c:strRef>
              <c:f>'Gap Trends'!$B$287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Trends'!$C$285:$AE$285</c:f>
              <c:strCache>
                <c:ptCount val="29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25.1월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  <c:pt idx="13">
                  <c:v>5월</c:v>
                </c:pt>
                <c:pt idx="14">
                  <c:v>6월</c:v>
                </c:pt>
                <c:pt idx="15">
                  <c:v>7월</c:v>
                </c:pt>
                <c:pt idx="16">
                  <c:v>8월</c:v>
                </c:pt>
                <c:pt idx="17">
                  <c:v>9월</c:v>
                </c:pt>
                <c:pt idx="18">
                  <c:v>10월</c:v>
                </c:pt>
                <c:pt idx="19">
                  <c:v>11월</c:v>
                </c:pt>
                <c:pt idx="20">
                  <c:v>12월</c:v>
                </c:pt>
                <c:pt idx="21">
                  <c:v>26년 경영계획</c:v>
                </c:pt>
                <c:pt idx="22">
                  <c:v>26.01월</c:v>
                </c:pt>
                <c:pt idx="23">
                  <c:v>2월</c:v>
                </c:pt>
                <c:pt idx="24">
                  <c:v>3월</c:v>
                </c:pt>
                <c:pt idx="25">
                  <c:v>4월</c:v>
                </c:pt>
                <c:pt idx="26">
                  <c:v>5월</c:v>
                </c:pt>
                <c:pt idx="27">
                  <c:v>6월</c:v>
                </c:pt>
                <c:pt idx="28">
                  <c:v>7월</c:v>
                </c:pt>
              </c:strCache>
            </c:strRef>
          </c:cat>
          <c:val>
            <c:numRef>
              <c:f>'Gap Trends'!$C$287:$AE$287</c:f>
              <c:numCache>
                <c:formatCode>_(* #,##0_);_(* \(#,##0\);_(* "-"_);_(@_)</c:formatCode>
                <c:ptCount val="29"/>
                <c:pt idx="0">
                  <c:v>1416</c:v>
                </c:pt>
                <c:pt idx="1">
                  <c:v>1832</c:v>
                </c:pt>
                <c:pt idx="2">
                  <c:v>1948</c:v>
                </c:pt>
                <c:pt idx="3">
                  <c:v>1784</c:v>
                </c:pt>
                <c:pt idx="4">
                  <c:v>1617</c:v>
                </c:pt>
                <c:pt idx="5">
                  <c:v>2220</c:v>
                </c:pt>
                <c:pt idx="6">
                  <c:v>2291</c:v>
                </c:pt>
                <c:pt idx="7">
                  <c:v>2130</c:v>
                </c:pt>
                <c:pt idx="8">
                  <c:v>2226</c:v>
                </c:pt>
                <c:pt idx="9">
                  <c:v>2404</c:v>
                </c:pt>
                <c:pt idx="10">
                  <c:v>2146</c:v>
                </c:pt>
                <c:pt idx="11">
                  <c:v>2198</c:v>
                </c:pt>
                <c:pt idx="12">
                  <c:v>2254</c:v>
                </c:pt>
                <c:pt idx="13">
                  <c:v>2200</c:v>
                </c:pt>
                <c:pt idx="14">
                  <c:v>2155</c:v>
                </c:pt>
                <c:pt idx="15">
                  <c:v>2201</c:v>
                </c:pt>
                <c:pt idx="16">
                  <c:v>2084</c:v>
                </c:pt>
                <c:pt idx="17">
                  <c:v>2141</c:v>
                </c:pt>
                <c:pt idx="18">
                  <c:v>2295</c:v>
                </c:pt>
                <c:pt idx="19">
                  <c:v>2367</c:v>
                </c:pt>
                <c:pt idx="20">
                  <c:v>2265</c:v>
                </c:pt>
                <c:pt idx="21">
                  <c:v>2218</c:v>
                </c:pt>
                <c:pt idx="22">
                  <c:v>2141</c:v>
                </c:pt>
                <c:pt idx="23">
                  <c:v>2206</c:v>
                </c:pt>
                <c:pt idx="24">
                  <c:v>2471</c:v>
                </c:pt>
                <c:pt idx="25">
                  <c:v>2253</c:v>
                </c:pt>
                <c:pt idx="26">
                  <c:v>2346</c:v>
                </c:pt>
                <c:pt idx="27">
                  <c:v>2317</c:v>
                </c:pt>
                <c:pt idx="28">
                  <c:v>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B-42D2-A5D3-48132BCAB3E1}"/>
            </c:ext>
          </c:extLst>
        </c:ser>
        <c:ser>
          <c:idx val="2"/>
          <c:order val="2"/>
          <c:tx>
            <c:strRef>
              <c:f>'Gap Trends'!$B$288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Trends'!$C$285:$AE$285</c:f>
              <c:strCache>
                <c:ptCount val="29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 24년 </c:v>
                </c:pt>
                <c:pt idx="8">
                  <c:v>25년</c:v>
                </c:pt>
                <c:pt idx="9">
                  <c:v>25.1월</c:v>
                </c:pt>
                <c:pt idx="10">
                  <c:v>2월</c:v>
                </c:pt>
                <c:pt idx="11">
                  <c:v>3월</c:v>
                </c:pt>
                <c:pt idx="12">
                  <c:v>4월</c:v>
                </c:pt>
                <c:pt idx="13">
                  <c:v>5월</c:v>
                </c:pt>
                <c:pt idx="14">
                  <c:v>6월</c:v>
                </c:pt>
                <c:pt idx="15">
                  <c:v>7월</c:v>
                </c:pt>
                <c:pt idx="16">
                  <c:v>8월</c:v>
                </c:pt>
                <c:pt idx="17">
                  <c:v>9월</c:v>
                </c:pt>
                <c:pt idx="18">
                  <c:v>10월</c:v>
                </c:pt>
                <c:pt idx="19">
                  <c:v>11월</c:v>
                </c:pt>
                <c:pt idx="20">
                  <c:v>12월</c:v>
                </c:pt>
                <c:pt idx="21">
                  <c:v>26년 경영계획</c:v>
                </c:pt>
                <c:pt idx="22">
                  <c:v>26.01월</c:v>
                </c:pt>
                <c:pt idx="23">
                  <c:v>2월</c:v>
                </c:pt>
                <c:pt idx="24">
                  <c:v>3월</c:v>
                </c:pt>
                <c:pt idx="25">
                  <c:v>4월</c:v>
                </c:pt>
                <c:pt idx="26">
                  <c:v>5월</c:v>
                </c:pt>
                <c:pt idx="27">
                  <c:v>6월</c:v>
                </c:pt>
                <c:pt idx="28">
                  <c:v>7월</c:v>
                </c:pt>
              </c:strCache>
            </c:strRef>
          </c:cat>
          <c:val>
            <c:numRef>
              <c:f>'Gap Trends'!$C$288:$AE$288</c:f>
              <c:numCache>
                <c:formatCode>_(* #,##0_);_(* \(#,##0\);_(* "-"_);_(@_)</c:formatCode>
                <c:ptCount val="29"/>
                <c:pt idx="0">
                  <c:v>872</c:v>
                </c:pt>
                <c:pt idx="1">
                  <c:v>1150</c:v>
                </c:pt>
                <c:pt idx="2">
                  <c:v>1292</c:v>
                </c:pt>
                <c:pt idx="3">
                  <c:v>1265</c:v>
                </c:pt>
                <c:pt idx="4">
                  <c:v>1059</c:v>
                </c:pt>
                <c:pt idx="5">
                  <c:v>1486</c:v>
                </c:pt>
                <c:pt idx="6">
                  <c:v>1494</c:v>
                </c:pt>
                <c:pt idx="7">
                  <c:v>1414</c:v>
                </c:pt>
                <c:pt idx="8">
                  <c:v>1525</c:v>
                </c:pt>
                <c:pt idx="9">
                  <c:v>1670</c:v>
                </c:pt>
                <c:pt idx="10">
                  <c:v>1426</c:v>
                </c:pt>
                <c:pt idx="11">
                  <c:v>1484</c:v>
                </c:pt>
                <c:pt idx="12">
                  <c:v>1550</c:v>
                </c:pt>
                <c:pt idx="13">
                  <c:v>1495</c:v>
                </c:pt>
                <c:pt idx="14">
                  <c:v>1432</c:v>
                </c:pt>
                <c:pt idx="15">
                  <c:v>1479</c:v>
                </c:pt>
                <c:pt idx="16">
                  <c:v>1379</c:v>
                </c:pt>
                <c:pt idx="17">
                  <c:v>1460</c:v>
                </c:pt>
                <c:pt idx="18">
                  <c:v>1621</c:v>
                </c:pt>
                <c:pt idx="19">
                  <c:v>1691</c:v>
                </c:pt>
                <c:pt idx="20">
                  <c:v>1612</c:v>
                </c:pt>
                <c:pt idx="21">
                  <c:v>1610</c:v>
                </c:pt>
                <c:pt idx="22">
                  <c:v>1491</c:v>
                </c:pt>
                <c:pt idx="23">
                  <c:v>1552</c:v>
                </c:pt>
                <c:pt idx="24">
                  <c:v>1808</c:v>
                </c:pt>
                <c:pt idx="25">
                  <c:v>1596</c:v>
                </c:pt>
                <c:pt idx="26">
                  <c:v>1674</c:v>
                </c:pt>
                <c:pt idx="27">
                  <c:v>1640</c:v>
                </c:pt>
                <c:pt idx="28">
                  <c:v>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B-42D2-A5D3-48132BCA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7381568"/>
        <c:axId val="-1787376128"/>
      </c:lineChart>
      <c:catAx>
        <c:axId val="-17873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87376128"/>
        <c:crosses val="autoZero"/>
        <c:auto val="1"/>
        <c:lblAlgn val="ctr"/>
        <c:lblOffset val="100"/>
        <c:noMultiLvlLbl val="0"/>
      </c:catAx>
      <c:valAx>
        <c:axId val="-178737612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-17873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'Gap Trends'!$B$251</c:f>
              <c:strCache>
                <c:ptCount val="1"/>
                <c:pt idx="0">
                  <c:v> 펄프가 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Trends'!$C$250:$AE$250</c:f>
              <c:strCache>
                <c:ptCount val="29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</c:v>
                </c:pt>
                <c:pt idx="5">
                  <c:v> 22년 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25.01월 </c:v>
                </c:pt>
                <c:pt idx="10">
                  <c:v> 2월 </c:v>
                </c:pt>
                <c:pt idx="11">
                  <c:v> 3월 </c:v>
                </c:pt>
                <c:pt idx="12">
                  <c:v> 4월 </c:v>
                </c:pt>
                <c:pt idx="13">
                  <c:v> 5월 </c:v>
                </c:pt>
                <c:pt idx="14">
                  <c:v> 6월 </c:v>
                </c:pt>
                <c:pt idx="15">
                  <c:v> 7월 </c:v>
                </c:pt>
                <c:pt idx="16">
                  <c:v> 8월 </c:v>
                </c:pt>
                <c:pt idx="17">
                  <c:v> 9월 </c:v>
                </c:pt>
                <c:pt idx="18">
                  <c:v> 10월 </c:v>
                </c:pt>
                <c:pt idx="19">
                  <c:v> 11월 </c:v>
                </c:pt>
                <c:pt idx="20">
                  <c:v> 12월 </c:v>
                </c:pt>
                <c:pt idx="21">
                  <c:v> 26년 경영계획 </c:v>
                </c:pt>
                <c:pt idx="22">
                  <c:v> 26.01월 </c:v>
                </c:pt>
                <c:pt idx="23">
                  <c:v> 2월 </c:v>
                </c:pt>
                <c:pt idx="24">
                  <c:v> 3월 </c:v>
                </c:pt>
                <c:pt idx="25">
                  <c:v> 4월 </c:v>
                </c:pt>
                <c:pt idx="26">
                  <c:v> 5월 </c:v>
                </c:pt>
                <c:pt idx="27">
                  <c:v> 6월 </c:v>
                </c:pt>
                <c:pt idx="28">
                  <c:v> 7월 </c:v>
                </c:pt>
              </c:strCache>
            </c:strRef>
          </c:cat>
          <c:val>
            <c:numRef>
              <c:f>'Gap Trends'!$C$251:$AE$251</c:f>
              <c:numCache>
                <c:formatCode>_(* #,##0_);_(* \(#,##0\);_(* "-"_);_(@_)</c:formatCode>
                <c:ptCount val="29"/>
                <c:pt idx="0">
                  <c:v>551</c:v>
                </c:pt>
                <c:pt idx="1">
                  <c:v>704</c:v>
                </c:pt>
                <c:pt idx="2">
                  <c:v>712</c:v>
                </c:pt>
                <c:pt idx="3">
                  <c:v>568</c:v>
                </c:pt>
                <c:pt idx="4">
                  <c:v>612</c:v>
                </c:pt>
                <c:pt idx="5">
                  <c:v>796</c:v>
                </c:pt>
                <c:pt idx="6">
                  <c:v>872</c:v>
                </c:pt>
                <c:pt idx="7">
                  <c:v>769</c:v>
                </c:pt>
                <c:pt idx="8">
                  <c:v>780</c:v>
                </c:pt>
                <c:pt idx="9">
                  <c:v>832</c:v>
                </c:pt>
                <c:pt idx="10">
                  <c:v>802</c:v>
                </c:pt>
                <c:pt idx="11">
                  <c:v>800</c:v>
                </c:pt>
                <c:pt idx="12">
                  <c:v>781</c:v>
                </c:pt>
                <c:pt idx="13">
                  <c:v>764</c:v>
                </c:pt>
                <c:pt idx="14">
                  <c:v>776</c:v>
                </c:pt>
                <c:pt idx="15">
                  <c:v>785</c:v>
                </c:pt>
                <c:pt idx="16">
                  <c:v>760</c:v>
                </c:pt>
                <c:pt idx="17">
                  <c:v>752</c:v>
                </c:pt>
                <c:pt idx="18">
                  <c:v>723</c:v>
                </c:pt>
                <c:pt idx="19">
                  <c:v>718</c:v>
                </c:pt>
                <c:pt idx="20">
                  <c:v>709</c:v>
                </c:pt>
                <c:pt idx="21">
                  <c:v>644</c:v>
                </c:pt>
                <c:pt idx="22">
                  <c:v>720</c:v>
                </c:pt>
                <c:pt idx="23">
                  <c:v>725</c:v>
                </c:pt>
                <c:pt idx="24">
                  <c:v>735</c:v>
                </c:pt>
                <c:pt idx="25">
                  <c:v>744</c:v>
                </c:pt>
                <c:pt idx="26">
                  <c:v>781</c:v>
                </c:pt>
                <c:pt idx="27">
                  <c:v>755</c:v>
                </c:pt>
                <c:pt idx="28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C-448C-B9CE-C60357E68D18}"/>
            </c:ext>
          </c:extLst>
        </c:ser>
        <c:ser>
          <c:idx val="1"/>
          <c:order val="1"/>
          <c:tx>
            <c:strRef>
              <c:f>'Gap Trends'!$B$252</c:f>
              <c:strCache>
                <c:ptCount val="1"/>
                <c:pt idx="0">
                  <c:v> 판매가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Trends'!$C$250:$AE$250</c:f>
              <c:strCache>
                <c:ptCount val="29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</c:v>
                </c:pt>
                <c:pt idx="5">
                  <c:v> 22년 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25.01월 </c:v>
                </c:pt>
                <c:pt idx="10">
                  <c:v> 2월 </c:v>
                </c:pt>
                <c:pt idx="11">
                  <c:v> 3월 </c:v>
                </c:pt>
                <c:pt idx="12">
                  <c:v> 4월 </c:v>
                </c:pt>
                <c:pt idx="13">
                  <c:v> 5월 </c:v>
                </c:pt>
                <c:pt idx="14">
                  <c:v> 6월 </c:v>
                </c:pt>
                <c:pt idx="15">
                  <c:v> 7월 </c:v>
                </c:pt>
                <c:pt idx="16">
                  <c:v> 8월 </c:v>
                </c:pt>
                <c:pt idx="17">
                  <c:v> 9월 </c:v>
                </c:pt>
                <c:pt idx="18">
                  <c:v> 10월 </c:v>
                </c:pt>
                <c:pt idx="19">
                  <c:v> 11월 </c:v>
                </c:pt>
                <c:pt idx="20">
                  <c:v> 12월 </c:v>
                </c:pt>
                <c:pt idx="21">
                  <c:v> 26년 경영계획 </c:v>
                </c:pt>
                <c:pt idx="22">
                  <c:v> 26.01월 </c:v>
                </c:pt>
                <c:pt idx="23">
                  <c:v> 2월 </c:v>
                </c:pt>
                <c:pt idx="24">
                  <c:v> 3월 </c:v>
                </c:pt>
                <c:pt idx="25">
                  <c:v> 4월 </c:v>
                </c:pt>
                <c:pt idx="26">
                  <c:v> 5월 </c:v>
                </c:pt>
                <c:pt idx="27">
                  <c:v> 6월 </c:v>
                </c:pt>
                <c:pt idx="28">
                  <c:v> 7월 </c:v>
                </c:pt>
              </c:strCache>
            </c:strRef>
          </c:cat>
          <c:val>
            <c:numRef>
              <c:f>'Gap Trends'!$C$252:$AE$252</c:f>
              <c:numCache>
                <c:formatCode>_(* #,##0_);_(* \(#,##0\);_(* "-"_);_(@_)</c:formatCode>
                <c:ptCount val="29"/>
                <c:pt idx="0">
                  <c:v>2911</c:v>
                </c:pt>
                <c:pt idx="1">
                  <c:v>2922</c:v>
                </c:pt>
                <c:pt idx="2">
                  <c:v>2871</c:v>
                </c:pt>
                <c:pt idx="3">
                  <c:v>1710</c:v>
                </c:pt>
                <c:pt idx="4">
                  <c:v>1735</c:v>
                </c:pt>
                <c:pt idx="5">
                  <c:v>1927</c:v>
                </c:pt>
                <c:pt idx="6">
                  <c:v>2146</c:v>
                </c:pt>
                <c:pt idx="7">
                  <c:v>2042</c:v>
                </c:pt>
                <c:pt idx="8">
                  <c:v>2023</c:v>
                </c:pt>
                <c:pt idx="9">
                  <c:v>2027</c:v>
                </c:pt>
                <c:pt idx="10">
                  <c:v>2002</c:v>
                </c:pt>
                <c:pt idx="11">
                  <c:v>1963</c:v>
                </c:pt>
                <c:pt idx="12">
                  <c:v>1969</c:v>
                </c:pt>
                <c:pt idx="13">
                  <c:v>1961</c:v>
                </c:pt>
                <c:pt idx="14">
                  <c:v>1981</c:v>
                </c:pt>
                <c:pt idx="15">
                  <c:v>2047</c:v>
                </c:pt>
                <c:pt idx="16">
                  <c:v>1951</c:v>
                </c:pt>
                <c:pt idx="17">
                  <c:v>1967</c:v>
                </c:pt>
                <c:pt idx="18">
                  <c:v>1992</c:v>
                </c:pt>
                <c:pt idx="19">
                  <c:v>1972</c:v>
                </c:pt>
                <c:pt idx="20">
                  <c:v>1974</c:v>
                </c:pt>
                <c:pt idx="21">
                  <c:v>2087</c:v>
                </c:pt>
                <c:pt idx="22">
                  <c:v>2056</c:v>
                </c:pt>
                <c:pt idx="23">
                  <c:v>2010</c:v>
                </c:pt>
                <c:pt idx="24">
                  <c:v>1997</c:v>
                </c:pt>
                <c:pt idx="25">
                  <c:v>1987</c:v>
                </c:pt>
                <c:pt idx="26">
                  <c:v>2026</c:v>
                </c:pt>
                <c:pt idx="27">
                  <c:v>2096</c:v>
                </c:pt>
                <c:pt idx="28">
                  <c:v>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C-448C-B9CE-C60357E68D18}"/>
            </c:ext>
          </c:extLst>
        </c:ser>
        <c:ser>
          <c:idx val="2"/>
          <c:order val="2"/>
          <c:tx>
            <c:strRef>
              <c:f>'Gap Trends'!$B$253</c:f>
              <c:strCache>
                <c:ptCount val="1"/>
                <c:pt idx="0">
                  <c:v> Gap 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'Gap Trends'!$C$250:$AE$250</c:f>
              <c:strCache>
                <c:ptCount val="29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</c:v>
                </c:pt>
                <c:pt idx="5">
                  <c:v> 22년 </c:v>
                </c:pt>
                <c:pt idx="6">
                  <c:v> 23년 </c:v>
                </c:pt>
                <c:pt idx="7">
                  <c:v> 24년 </c:v>
                </c:pt>
                <c:pt idx="8">
                  <c:v> 25년 </c:v>
                </c:pt>
                <c:pt idx="9">
                  <c:v> 25.01월 </c:v>
                </c:pt>
                <c:pt idx="10">
                  <c:v> 2월 </c:v>
                </c:pt>
                <c:pt idx="11">
                  <c:v> 3월 </c:v>
                </c:pt>
                <c:pt idx="12">
                  <c:v> 4월 </c:v>
                </c:pt>
                <c:pt idx="13">
                  <c:v> 5월 </c:v>
                </c:pt>
                <c:pt idx="14">
                  <c:v> 6월 </c:v>
                </c:pt>
                <c:pt idx="15">
                  <c:v> 7월 </c:v>
                </c:pt>
                <c:pt idx="16">
                  <c:v> 8월 </c:v>
                </c:pt>
                <c:pt idx="17">
                  <c:v> 9월 </c:v>
                </c:pt>
                <c:pt idx="18">
                  <c:v> 10월 </c:v>
                </c:pt>
                <c:pt idx="19">
                  <c:v> 11월 </c:v>
                </c:pt>
                <c:pt idx="20">
                  <c:v> 12월 </c:v>
                </c:pt>
                <c:pt idx="21">
                  <c:v> 26년 경영계획 </c:v>
                </c:pt>
                <c:pt idx="22">
                  <c:v> 26.01월 </c:v>
                </c:pt>
                <c:pt idx="23">
                  <c:v> 2월 </c:v>
                </c:pt>
                <c:pt idx="24">
                  <c:v> 3월 </c:v>
                </c:pt>
                <c:pt idx="25">
                  <c:v> 4월 </c:v>
                </c:pt>
                <c:pt idx="26">
                  <c:v> 5월 </c:v>
                </c:pt>
                <c:pt idx="27">
                  <c:v> 6월 </c:v>
                </c:pt>
                <c:pt idx="28">
                  <c:v> 7월 </c:v>
                </c:pt>
              </c:strCache>
            </c:strRef>
          </c:cat>
          <c:val>
            <c:numRef>
              <c:f>'Gap Trends'!$C$253:$AE$253</c:f>
              <c:numCache>
                <c:formatCode>_(* #,##0_);_(* \(#,##0\);_(* "-"_);_(@_)</c:formatCode>
                <c:ptCount val="29"/>
                <c:pt idx="0">
                  <c:v>2360</c:v>
                </c:pt>
                <c:pt idx="1">
                  <c:v>2218</c:v>
                </c:pt>
                <c:pt idx="2">
                  <c:v>2159</c:v>
                </c:pt>
                <c:pt idx="3">
                  <c:v>1142</c:v>
                </c:pt>
                <c:pt idx="4">
                  <c:v>1123</c:v>
                </c:pt>
                <c:pt idx="5">
                  <c:v>1131</c:v>
                </c:pt>
                <c:pt idx="6">
                  <c:v>1274</c:v>
                </c:pt>
                <c:pt idx="7">
                  <c:v>1273</c:v>
                </c:pt>
                <c:pt idx="8">
                  <c:v>1264</c:v>
                </c:pt>
                <c:pt idx="9">
                  <c:v>1220</c:v>
                </c:pt>
                <c:pt idx="10">
                  <c:v>1214</c:v>
                </c:pt>
                <c:pt idx="11">
                  <c:v>1187</c:v>
                </c:pt>
                <c:pt idx="12">
                  <c:v>1211</c:v>
                </c:pt>
                <c:pt idx="13">
                  <c:v>1217</c:v>
                </c:pt>
                <c:pt idx="14">
                  <c:v>1225</c:v>
                </c:pt>
                <c:pt idx="15">
                  <c:v>1280</c:v>
                </c:pt>
                <c:pt idx="16">
                  <c:v>1212</c:v>
                </c:pt>
                <c:pt idx="17">
                  <c:v>1237</c:v>
                </c:pt>
                <c:pt idx="18">
                  <c:v>1287</c:v>
                </c:pt>
                <c:pt idx="19">
                  <c:v>1276</c:v>
                </c:pt>
                <c:pt idx="20">
                  <c:v>1285</c:v>
                </c:pt>
                <c:pt idx="21">
                  <c:v>1442</c:v>
                </c:pt>
                <c:pt idx="22">
                  <c:v>1355</c:v>
                </c:pt>
                <c:pt idx="23">
                  <c:v>1304</c:v>
                </c:pt>
                <c:pt idx="24">
                  <c:v>1289</c:v>
                </c:pt>
                <c:pt idx="25">
                  <c:v>1271</c:v>
                </c:pt>
                <c:pt idx="26">
                  <c:v>1275</c:v>
                </c:pt>
                <c:pt idx="27">
                  <c:v>1358</c:v>
                </c:pt>
                <c:pt idx="28">
                  <c:v>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C-448C-B9CE-C60357E68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7383200"/>
        <c:axId val="-1787382656"/>
      </c:lineChart>
      <c:catAx>
        <c:axId val="-17873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787382656"/>
        <c:crosses val="autoZero"/>
        <c:auto val="1"/>
        <c:lblAlgn val="ctr"/>
        <c:lblOffset val="100"/>
        <c:noMultiLvlLbl val="0"/>
      </c:catAx>
      <c:valAx>
        <c:axId val="-178738265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-178738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17478199962304E-2"/>
          <c:y val="0.1235802472174586"/>
          <c:w val="0.96828250250647629"/>
          <c:h val="0.80172495423700629"/>
        </c:manualLayout>
      </c:layout>
      <c:lineChart>
        <c:grouping val="standard"/>
        <c:varyColors val="0"/>
        <c:ser>
          <c:idx val="0"/>
          <c:order val="0"/>
          <c:tx>
            <c:strRef>
              <c:f>'Gap Trends'!$C$511</c:f>
              <c:strCache>
                <c:ptCount val="1"/>
                <c:pt idx="0">
                  <c:v>펄프가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Trends'!$D$510:$T$510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Trends'!$D$511:$T$511</c:f>
              <c:numCache>
                <c:formatCode>General</c:formatCode>
                <c:ptCount val="17"/>
                <c:pt idx="0">
                  <c:v>533</c:v>
                </c:pt>
                <c:pt idx="1">
                  <c:v>636</c:v>
                </c:pt>
                <c:pt idx="2">
                  <c:v>628</c:v>
                </c:pt>
                <c:pt idx="3">
                  <c:v>537</c:v>
                </c:pt>
                <c:pt idx="4">
                  <c:v>579</c:v>
                </c:pt>
                <c:pt idx="5">
                  <c:v>742</c:v>
                </c:pt>
                <c:pt idx="6">
                  <c:v>838</c:v>
                </c:pt>
                <c:pt idx="7">
                  <c:v>774</c:v>
                </c:pt>
                <c:pt idx="8">
                  <c:v>758</c:v>
                </c:pt>
                <c:pt idx="9">
                  <c:v>705</c:v>
                </c:pt>
                <c:pt idx="10">
                  <c:v>716</c:v>
                </c:pt>
                <c:pt idx="11">
                  <c:v>710</c:v>
                </c:pt>
                <c:pt idx="12">
                  <c:v>720</c:v>
                </c:pt>
                <c:pt idx="13">
                  <c:v>741</c:v>
                </c:pt>
                <c:pt idx="14">
                  <c:v>757</c:v>
                </c:pt>
                <c:pt idx="15">
                  <c:v>738</c:v>
                </c:pt>
                <c:pt idx="16">
                  <c:v>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9-4279-BF51-B10B2750FEC9}"/>
            </c:ext>
          </c:extLst>
        </c:ser>
        <c:ser>
          <c:idx val="1"/>
          <c:order val="1"/>
          <c:tx>
            <c:strRef>
              <c:f>'Gap Trends'!$C$512</c:f>
              <c:strCache>
                <c:ptCount val="1"/>
                <c:pt idx="0">
                  <c:v>판매가</c:v>
                </c:pt>
              </c:strCache>
            </c:strRef>
          </c:tx>
          <c:spPr>
            <a:ln w="38100">
              <a:solidFill>
                <a:srgbClr val="0070C0"/>
              </a:solidFill>
            </a:ln>
          </c:spPr>
          <c:marker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5"/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1">
                        <a:lumMod val="50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Trends'!$D$510:$T$510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Trends'!$D$512:$T$512</c:f>
              <c:numCache>
                <c:formatCode>General</c:formatCode>
                <c:ptCount val="17"/>
                <c:pt idx="0">
                  <c:v>2085</c:v>
                </c:pt>
                <c:pt idx="1">
                  <c:v>2221</c:v>
                </c:pt>
                <c:pt idx="2">
                  <c:v>2094</c:v>
                </c:pt>
                <c:pt idx="3">
                  <c:v>2067</c:v>
                </c:pt>
                <c:pt idx="4">
                  <c:v>2005</c:v>
                </c:pt>
                <c:pt idx="5">
                  <c:v>2175</c:v>
                </c:pt>
                <c:pt idx="6">
                  <c:v>2427</c:v>
                </c:pt>
                <c:pt idx="7">
                  <c:v>2396</c:v>
                </c:pt>
                <c:pt idx="8">
                  <c:v>2394</c:v>
                </c:pt>
                <c:pt idx="9">
                  <c:v>2492</c:v>
                </c:pt>
                <c:pt idx="10">
                  <c:v>2390</c:v>
                </c:pt>
                <c:pt idx="11">
                  <c:v>2380</c:v>
                </c:pt>
                <c:pt idx="12">
                  <c:v>2347</c:v>
                </c:pt>
                <c:pt idx="13">
                  <c:v>2303</c:v>
                </c:pt>
                <c:pt idx="14" formatCode="0">
                  <c:v>2330</c:v>
                </c:pt>
                <c:pt idx="15">
                  <c:v>2390</c:v>
                </c:pt>
                <c:pt idx="16">
                  <c:v>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9-4279-BF51-B10B2750F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7382112"/>
        <c:axId val="-1787381024"/>
      </c:lineChart>
      <c:lineChart>
        <c:grouping val="standard"/>
        <c:varyColors val="0"/>
        <c:ser>
          <c:idx val="2"/>
          <c:order val="2"/>
          <c:tx>
            <c:strRef>
              <c:f>'Gap Trends'!$C$513</c:f>
              <c:strCache>
                <c:ptCount val="1"/>
                <c:pt idx="0">
                  <c:v>Gap</c:v>
                </c:pt>
              </c:strCache>
            </c:strRef>
          </c:tx>
          <c:spPr>
            <a:ln w="44450"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Trends'!$D$510:$T$510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Trends'!$D$513:$T$513</c:f>
              <c:numCache>
                <c:formatCode>General</c:formatCode>
                <c:ptCount val="17"/>
                <c:pt idx="0">
                  <c:v>1552</c:v>
                </c:pt>
                <c:pt idx="1">
                  <c:v>1585</c:v>
                </c:pt>
                <c:pt idx="2">
                  <c:v>1466</c:v>
                </c:pt>
                <c:pt idx="3">
                  <c:v>1530</c:v>
                </c:pt>
                <c:pt idx="4">
                  <c:v>1426</c:v>
                </c:pt>
                <c:pt idx="5">
                  <c:v>1433</c:v>
                </c:pt>
                <c:pt idx="6">
                  <c:v>1589</c:v>
                </c:pt>
                <c:pt idx="7">
                  <c:v>1621</c:v>
                </c:pt>
                <c:pt idx="8">
                  <c:v>1636</c:v>
                </c:pt>
                <c:pt idx="9">
                  <c:v>1786</c:v>
                </c:pt>
                <c:pt idx="10">
                  <c:v>1673</c:v>
                </c:pt>
                <c:pt idx="11">
                  <c:v>1670</c:v>
                </c:pt>
                <c:pt idx="12">
                  <c:v>1627</c:v>
                </c:pt>
                <c:pt idx="13">
                  <c:v>1562</c:v>
                </c:pt>
                <c:pt idx="14" formatCode="0">
                  <c:v>1573</c:v>
                </c:pt>
                <c:pt idx="15">
                  <c:v>1652</c:v>
                </c:pt>
                <c:pt idx="16">
                  <c:v>1680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D9-4279-BF51-B10B2750F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7379936"/>
        <c:axId val="-1787380480"/>
      </c:lineChart>
      <c:catAx>
        <c:axId val="-1787382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ko-KR"/>
          </a:p>
        </c:txPr>
        <c:crossAx val="-1787381024"/>
        <c:crosses val="autoZero"/>
        <c:auto val="1"/>
        <c:lblAlgn val="ctr"/>
        <c:lblOffset val="120"/>
        <c:noMultiLvlLbl val="0"/>
      </c:catAx>
      <c:valAx>
        <c:axId val="-1787381024"/>
        <c:scaling>
          <c:orientation val="minMax"/>
          <c:max val="3000"/>
          <c:min val="200"/>
        </c:scaling>
        <c:delete val="1"/>
        <c:axPos val="r"/>
        <c:numFmt formatCode="General" sourceLinked="1"/>
        <c:majorTickMark val="out"/>
        <c:minorTickMark val="none"/>
        <c:tickLblPos val="nextTo"/>
        <c:crossAx val="-1787382112"/>
        <c:crosses val="max"/>
        <c:crossBetween val="between"/>
      </c:valAx>
      <c:valAx>
        <c:axId val="-1787380480"/>
        <c:scaling>
          <c:orientation val="minMax"/>
          <c:max val="1000"/>
          <c:min val="400"/>
        </c:scaling>
        <c:delete val="1"/>
        <c:axPos val="r"/>
        <c:numFmt formatCode="General" sourceLinked="1"/>
        <c:majorTickMark val="out"/>
        <c:minorTickMark val="none"/>
        <c:tickLblPos val="nextTo"/>
        <c:crossAx val="-1787379936"/>
        <c:crosses val="max"/>
        <c:crossBetween val="between"/>
      </c:valAx>
      <c:catAx>
        <c:axId val="-17873799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-1787380480"/>
        <c:crosses val="max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40179814424453286"/>
          <c:y val="1.3793103448275862E-2"/>
          <c:w val="0.28135246688440557"/>
          <c:h val="0.10134003077201556"/>
        </c:manualLayout>
      </c:layout>
      <c:overlay val="0"/>
      <c:txPr>
        <a:bodyPr/>
        <a:lstStyle/>
        <a:p>
          <a:pPr>
            <a:defRPr sz="1400" b="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17495977955049E-2"/>
          <c:y val="0.11652733959430489"/>
          <c:w val="0.96828252237701051"/>
          <c:h val="0.80172495423700629"/>
        </c:manualLayout>
      </c:layout>
      <c:lineChart>
        <c:grouping val="standard"/>
        <c:varyColors val="0"/>
        <c:ser>
          <c:idx val="0"/>
          <c:order val="0"/>
          <c:tx>
            <c:strRef>
              <c:f>'Gap Trends'!$C$462</c:f>
              <c:strCache>
                <c:ptCount val="1"/>
                <c:pt idx="0">
                  <c:v>펄프가</c:v>
                </c:pt>
              </c:strCache>
            </c:strRef>
          </c:tx>
          <c:spPr>
            <a:ln w="34925"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Trends'!$D$461:$T$461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Trends'!$D$462:$T$462</c:f>
              <c:numCache>
                <c:formatCode>General</c:formatCode>
                <c:ptCount val="17"/>
                <c:pt idx="0">
                  <c:v>533</c:v>
                </c:pt>
                <c:pt idx="1">
                  <c:v>636</c:v>
                </c:pt>
                <c:pt idx="2">
                  <c:v>628</c:v>
                </c:pt>
                <c:pt idx="3">
                  <c:v>536</c:v>
                </c:pt>
                <c:pt idx="4">
                  <c:v>578</c:v>
                </c:pt>
                <c:pt idx="5">
                  <c:v>738</c:v>
                </c:pt>
                <c:pt idx="6">
                  <c:v>836</c:v>
                </c:pt>
                <c:pt idx="7">
                  <c:v>772</c:v>
                </c:pt>
                <c:pt idx="8">
                  <c:v>755</c:v>
                </c:pt>
                <c:pt idx="9">
                  <c:v>696</c:v>
                </c:pt>
                <c:pt idx="10">
                  <c:v>714</c:v>
                </c:pt>
                <c:pt idx="11">
                  <c:v>708</c:v>
                </c:pt>
                <c:pt idx="12">
                  <c:v>716</c:v>
                </c:pt>
                <c:pt idx="13">
                  <c:v>738</c:v>
                </c:pt>
                <c:pt idx="14" formatCode="0">
                  <c:v>753</c:v>
                </c:pt>
                <c:pt idx="15" formatCode="0">
                  <c:v>736</c:v>
                </c:pt>
                <c:pt idx="16">
                  <c:v>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F-4557-8394-95196C546A0F}"/>
            </c:ext>
          </c:extLst>
        </c:ser>
        <c:ser>
          <c:idx val="1"/>
          <c:order val="1"/>
          <c:tx>
            <c:strRef>
              <c:f>'Gap Trends'!$C$463</c:f>
              <c:strCache>
                <c:ptCount val="1"/>
                <c:pt idx="0">
                  <c:v>판매가</c:v>
                </c:pt>
              </c:strCache>
            </c:strRef>
          </c:tx>
          <c:spPr>
            <a:ln w="41275">
              <a:solidFill>
                <a:schemeClr val="accent5">
                  <a:lumMod val="75000"/>
                </a:schemeClr>
              </a:solidFill>
            </a:ln>
          </c:spPr>
          <c:marker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5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Trends'!$D$461:$T$461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Trends'!$D$463:$T$463</c:f>
              <c:numCache>
                <c:formatCode>General</c:formatCode>
                <c:ptCount val="17"/>
                <c:pt idx="0">
                  <c:v>2085</c:v>
                </c:pt>
                <c:pt idx="1">
                  <c:v>2221</c:v>
                </c:pt>
                <c:pt idx="2">
                  <c:v>2089</c:v>
                </c:pt>
                <c:pt idx="3">
                  <c:v>2063</c:v>
                </c:pt>
                <c:pt idx="4">
                  <c:v>2001</c:v>
                </c:pt>
                <c:pt idx="5">
                  <c:v>2164</c:v>
                </c:pt>
                <c:pt idx="6">
                  <c:v>2415</c:v>
                </c:pt>
                <c:pt idx="7">
                  <c:v>2385</c:v>
                </c:pt>
                <c:pt idx="8">
                  <c:v>2385</c:v>
                </c:pt>
                <c:pt idx="9">
                  <c:v>2447</c:v>
                </c:pt>
                <c:pt idx="10">
                  <c:v>2382</c:v>
                </c:pt>
                <c:pt idx="11">
                  <c:v>2374</c:v>
                </c:pt>
                <c:pt idx="12">
                  <c:v>2333</c:v>
                </c:pt>
                <c:pt idx="13">
                  <c:v>2296</c:v>
                </c:pt>
                <c:pt idx="14" formatCode="0">
                  <c:v>2320</c:v>
                </c:pt>
                <c:pt idx="15" formatCode="0">
                  <c:v>2378</c:v>
                </c:pt>
                <c:pt idx="16">
                  <c:v>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F-4557-8394-95196C54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68181104"/>
        <c:axId val="-1468179472"/>
      </c:lineChart>
      <c:lineChart>
        <c:grouping val="standard"/>
        <c:varyColors val="0"/>
        <c:ser>
          <c:idx val="2"/>
          <c:order val="2"/>
          <c:tx>
            <c:strRef>
              <c:f>'Gap Trends'!$C$464</c:f>
              <c:strCache>
                <c:ptCount val="1"/>
                <c:pt idx="0">
                  <c:v>Gap</c:v>
                </c:pt>
              </c:strCache>
            </c:strRef>
          </c:tx>
          <c:spPr>
            <a:ln w="34925"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Trends'!$D$461:$T$461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 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경영계획</c:v>
                </c:pt>
                <c:pt idx="10">
                  <c:v>26.1월</c:v>
                </c:pt>
                <c:pt idx="11">
                  <c:v>26.2월</c:v>
                </c:pt>
                <c:pt idx="12">
                  <c:v>26.3월</c:v>
                </c:pt>
                <c:pt idx="13">
                  <c:v>26.4월</c:v>
                </c:pt>
                <c:pt idx="14">
                  <c:v>26.5월</c:v>
                </c:pt>
                <c:pt idx="15">
                  <c:v>26.6월</c:v>
                </c:pt>
                <c:pt idx="16">
                  <c:v>26.7월</c:v>
                </c:pt>
              </c:strCache>
            </c:strRef>
          </c:cat>
          <c:val>
            <c:numRef>
              <c:f>'Gap Trends'!$D$464:$T$464</c:f>
              <c:numCache>
                <c:formatCode>General</c:formatCode>
                <c:ptCount val="17"/>
                <c:pt idx="0">
                  <c:v>1552</c:v>
                </c:pt>
                <c:pt idx="1">
                  <c:v>1585</c:v>
                </c:pt>
                <c:pt idx="2">
                  <c:v>1461</c:v>
                </c:pt>
                <c:pt idx="3">
                  <c:v>1527</c:v>
                </c:pt>
                <c:pt idx="4">
                  <c:v>1423</c:v>
                </c:pt>
                <c:pt idx="5">
                  <c:v>1426</c:v>
                </c:pt>
                <c:pt idx="6">
                  <c:v>1579</c:v>
                </c:pt>
                <c:pt idx="7">
                  <c:v>1614</c:v>
                </c:pt>
                <c:pt idx="8">
                  <c:v>1630</c:v>
                </c:pt>
                <c:pt idx="9">
                  <c:v>1751</c:v>
                </c:pt>
                <c:pt idx="10">
                  <c:v>1668</c:v>
                </c:pt>
                <c:pt idx="11">
                  <c:v>1666</c:v>
                </c:pt>
                <c:pt idx="12">
                  <c:v>1617</c:v>
                </c:pt>
                <c:pt idx="13">
                  <c:v>1558</c:v>
                </c:pt>
                <c:pt idx="14" formatCode="0">
                  <c:v>1567</c:v>
                </c:pt>
                <c:pt idx="15" formatCode="0">
                  <c:v>1642</c:v>
                </c:pt>
                <c:pt idx="16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2F-4557-8394-95196C54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68182736"/>
        <c:axId val="-1468182192"/>
      </c:lineChart>
      <c:catAx>
        <c:axId val="-146818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ko-KR"/>
          </a:p>
        </c:txPr>
        <c:crossAx val="-1468179472"/>
        <c:crosses val="autoZero"/>
        <c:auto val="1"/>
        <c:lblAlgn val="ctr"/>
        <c:lblOffset val="120"/>
        <c:noMultiLvlLbl val="0"/>
      </c:catAx>
      <c:valAx>
        <c:axId val="-1468179472"/>
        <c:scaling>
          <c:orientation val="minMax"/>
          <c:max val="3000"/>
          <c:min val="200"/>
        </c:scaling>
        <c:delete val="1"/>
        <c:axPos val="r"/>
        <c:numFmt formatCode="General" sourceLinked="1"/>
        <c:majorTickMark val="out"/>
        <c:minorTickMark val="none"/>
        <c:tickLblPos val="nextTo"/>
        <c:crossAx val="-1468181104"/>
        <c:crosses val="max"/>
        <c:crossBetween val="between"/>
      </c:valAx>
      <c:valAx>
        <c:axId val="-1468182192"/>
        <c:scaling>
          <c:orientation val="minMax"/>
          <c:max val="1000"/>
          <c:min val="400"/>
        </c:scaling>
        <c:delete val="1"/>
        <c:axPos val="r"/>
        <c:numFmt formatCode="General" sourceLinked="1"/>
        <c:majorTickMark val="out"/>
        <c:minorTickMark val="none"/>
        <c:tickLblPos val="nextTo"/>
        <c:crossAx val="-1468182736"/>
        <c:crosses val="max"/>
        <c:crossBetween val="between"/>
      </c:valAx>
      <c:catAx>
        <c:axId val="-14681827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-1468182192"/>
        <c:crosses val="max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40179814424453286"/>
          <c:y val="1.3793103448275862E-2"/>
          <c:w val="0.28135246688440557"/>
          <c:h val="0.10134003077201556"/>
        </c:manualLayout>
      </c:layout>
      <c:overlay val="0"/>
      <c:txPr>
        <a:bodyPr/>
        <a:lstStyle/>
        <a:p>
          <a:pPr>
            <a:defRPr sz="1400" b="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418278749683995E-2"/>
          <c:y val="8.03472481069087E-2"/>
          <c:w val="0.969845334030767"/>
          <c:h val="0.75983754764111988"/>
        </c:manualLayout>
      </c:layout>
      <c:lineChart>
        <c:grouping val="standard"/>
        <c:varyColors val="0"/>
        <c:ser>
          <c:idx val="1"/>
          <c:order val="1"/>
          <c:tx>
            <c:strRef>
              <c:f>'Gap Trends'!$B$414</c:f>
              <c:strCache>
                <c:ptCount val="1"/>
                <c:pt idx="0">
                  <c:v>고지가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square"/>
            <c:size val="7"/>
            <c:spPr>
              <a:solidFill>
                <a:srgbClr val="C00000"/>
              </a:solidFill>
              <a:ln w="2857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'Gap Trends'!$C$412:$S$412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Trends'!$C$414:$S$414</c:f>
              <c:numCache>
                <c:formatCode>General</c:formatCode>
                <c:ptCount val="17"/>
                <c:pt idx="0">
                  <c:v>255</c:v>
                </c:pt>
                <c:pt idx="1">
                  <c:v>220</c:v>
                </c:pt>
                <c:pt idx="2">
                  <c:v>187</c:v>
                </c:pt>
                <c:pt idx="3">
                  <c:v>168</c:v>
                </c:pt>
                <c:pt idx="4">
                  <c:v>221</c:v>
                </c:pt>
                <c:pt idx="5">
                  <c:v>243</c:v>
                </c:pt>
                <c:pt idx="6" formatCode="_(* #,##0_);_(* \(#,##0\);_(* &quot;-&quot;_);_(@_)">
                  <c:v>213.75</c:v>
                </c:pt>
                <c:pt idx="7">
                  <c:v>217</c:v>
                </c:pt>
                <c:pt idx="8">
                  <c:v>209</c:v>
                </c:pt>
                <c:pt idx="9">
                  <c:v>193</c:v>
                </c:pt>
                <c:pt idx="10">
                  <c:v>143</c:v>
                </c:pt>
                <c:pt idx="11">
                  <c:v>202</c:v>
                </c:pt>
                <c:pt idx="12">
                  <c:v>203</c:v>
                </c:pt>
                <c:pt idx="13">
                  <c:v>201</c:v>
                </c:pt>
                <c:pt idx="14">
                  <c:v>200</c:v>
                </c:pt>
                <c:pt idx="15">
                  <c:v>203</c:v>
                </c:pt>
                <c:pt idx="16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4-4315-A03E-A5F54D3B85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468184912"/>
        <c:axId val="-1468181648"/>
      </c:lineChart>
      <c:lineChart>
        <c:grouping val="standard"/>
        <c:varyColors val="0"/>
        <c:ser>
          <c:idx val="0"/>
          <c:order val="0"/>
          <c:tx>
            <c:strRef>
              <c:f>'Gap Trends'!$B$413</c:f>
              <c:strCache>
                <c:ptCount val="1"/>
                <c:pt idx="0">
                  <c:v>판매가</c:v>
                </c:pt>
              </c:strCache>
            </c:strRef>
          </c:tx>
          <c:spPr>
            <a:ln w="28575">
              <a:solidFill>
                <a:srgbClr val="0070C0"/>
              </a:solidFill>
            </a:ln>
          </c:spPr>
          <c:marker>
            <c:spPr>
              <a:ln w="28575">
                <a:solidFill>
                  <a:srgbClr val="0070C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0070C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'Gap Trends'!$C$412:$S$412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Trends'!$C$413:$S$413</c:f>
              <c:numCache>
                <c:formatCode>General</c:formatCode>
                <c:ptCount val="17"/>
                <c:pt idx="0">
                  <c:v>593</c:v>
                </c:pt>
                <c:pt idx="1">
                  <c:v>635</c:v>
                </c:pt>
                <c:pt idx="2">
                  <c:v>619</c:v>
                </c:pt>
                <c:pt idx="3">
                  <c:v>633</c:v>
                </c:pt>
                <c:pt idx="4">
                  <c:v>671</c:v>
                </c:pt>
                <c:pt idx="5">
                  <c:v>787</c:v>
                </c:pt>
                <c:pt idx="6" formatCode="_(* #,##0_);_(* \(#,##0\);_(* &quot;-&quot;_);_(@_)">
                  <c:v>654.5</c:v>
                </c:pt>
                <c:pt idx="7">
                  <c:v>629</c:v>
                </c:pt>
                <c:pt idx="8">
                  <c:v>639</c:v>
                </c:pt>
                <c:pt idx="9">
                  <c:v>672</c:v>
                </c:pt>
                <c:pt idx="10">
                  <c:v>641</c:v>
                </c:pt>
                <c:pt idx="11">
                  <c:v>643</c:v>
                </c:pt>
                <c:pt idx="12">
                  <c:v>673</c:v>
                </c:pt>
                <c:pt idx="13">
                  <c:v>676</c:v>
                </c:pt>
                <c:pt idx="14">
                  <c:v>707</c:v>
                </c:pt>
                <c:pt idx="15">
                  <c:v>731</c:v>
                </c:pt>
                <c:pt idx="16">
                  <c:v>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4-4315-A03E-A5F54D3B85B6}"/>
            </c:ext>
          </c:extLst>
        </c:ser>
        <c:ser>
          <c:idx val="2"/>
          <c:order val="2"/>
          <c:tx>
            <c:strRef>
              <c:f>'Gap Trends'!$B$415</c:f>
              <c:strCache>
                <c:ptCount val="1"/>
                <c:pt idx="0">
                  <c:v>Gap</c:v>
                </c:pt>
              </c:strCache>
            </c:strRef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6">
                  <a:lumMod val="75000"/>
                </a:schemeClr>
              </a:solidFill>
              <a:ln w="28575"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Trends'!$C$412:$S$412</c:f>
              <c:strCache>
                <c:ptCount val="17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</c:v>
                </c:pt>
                <c:pt idx="5">
                  <c:v>22년</c:v>
                </c:pt>
                <c:pt idx="6">
                  <c:v>23년</c:v>
                </c:pt>
                <c:pt idx="7">
                  <c:v>24년</c:v>
                </c:pt>
                <c:pt idx="8">
                  <c:v>25년</c:v>
                </c:pt>
                <c:pt idx="9">
                  <c:v>26년 경영</c:v>
                </c:pt>
                <c:pt idx="10">
                  <c:v>26.1월</c:v>
                </c:pt>
                <c:pt idx="11">
                  <c:v>2월</c:v>
                </c:pt>
                <c:pt idx="12">
                  <c:v>3월</c:v>
                </c:pt>
                <c:pt idx="13">
                  <c:v>4월</c:v>
                </c:pt>
                <c:pt idx="14">
                  <c:v>5월</c:v>
                </c:pt>
                <c:pt idx="15">
                  <c:v>6월</c:v>
                </c:pt>
                <c:pt idx="16">
                  <c:v>7월</c:v>
                </c:pt>
              </c:strCache>
            </c:strRef>
          </c:cat>
          <c:val>
            <c:numRef>
              <c:f>'Gap Trends'!$C$415:$S$415</c:f>
              <c:numCache>
                <c:formatCode>General</c:formatCode>
                <c:ptCount val="17"/>
                <c:pt idx="0">
                  <c:v>338</c:v>
                </c:pt>
                <c:pt idx="1">
                  <c:v>415</c:v>
                </c:pt>
                <c:pt idx="2">
                  <c:v>431</c:v>
                </c:pt>
                <c:pt idx="3">
                  <c:v>465</c:v>
                </c:pt>
                <c:pt idx="4">
                  <c:v>450</c:v>
                </c:pt>
                <c:pt idx="5">
                  <c:v>544</c:v>
                </c:pt>
                <c:pt idx="6" formatCode="_(* #,##0_);_(* \(#,##0\);_(* &quot;-&quot;_);_(@_)">
                  <c:v>440.75</c:v>
                </c:pt>
                <c:pt idx="7">
                  <c:v>412</c:v>
                </c:pt>
                <c:pt idx="8">
                  <c:v>430</c:v>
                </c:pt>
                <c:pt idx="9">
                  <c:v>479</c:v>
                </c:pt>
                <c:pt idx="10">
                  <c:v>497</c:v>
                </c:pt>
                <c:pt idx="11">
                  <c:v>441</c:v>
                </c:pt>
                <c:pt idx="12">
                  <c:v>470</c:v>
                </c:pt>
                <c:pt idx="13">
                  <c:v>475</c:v>
                </c:pt>
                <c:pt idx="14">
                  <c:v>508</c:v>
                </c:pt>
                <c:pt idx="15">
                  <c:v>528</c:v>
                </c:pt>
                <c:pt idx="16">
                  <c:v>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F4-4315-A03E-A5F54D3B85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468183824"/>
        <c:axId val="-1468178928"/>
      </c:lineChart>
      <c:catAx>
        <c:axId val="-1468184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ko-KR"/>
          </a:p>
        </c:txPr>
        <c:crossAx val="-1468181648"/>
        <c:crosses val="autoZero"/>
        <c:auto val="1"/>
        <c:lblAlgn val="ctr"/>
        <c:lblOffset val="100"/>
        <c:noMultiLvlLbl val="0"/>
      </c:catAx>
      <c:valAx>
        <c:axId val="-1468181648"/>
        <c:scaling>
          <c:orientation val="minMax"/>
          <c:max val="11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100">
                <a:solidFill>
                  <a:schemeClr val="bg1"/>
                </a:solidFill>
              </a:defRPr>
            </a:pPr>
            <a:endParaRPr lang="ko-KR"/>
          </a:p>
        </c:txPr>
        <c:crossAx val="-1468184912"/>
        <c:crosses val="autoZero"/>
        <c:crossBetween val="between"/>
      </c:valAx>
      <c:valAx>
        <c:axId val="-1468178928"/>
        <c:scaling>
          <c:orientation val="minMax"/>
          <c:max val="740"/>
          <c:min val="600"/>
        </c:scaling>
        <c:delete val="1"/>
        <c:axPos val="r"/>
        <c:numFmt formatCode="General" sourceLinked="1"/>
        <c:majorTickMark val="out"/>
        <c:minorTickMark val="none"/>
        <c:tickLblPos val="nextTo"/>
        <c:crossAx val="-1468183824"/>
        <c:crosses val="max"/>
        <c:crossBetween val="between"/>
      </c:valAx>
      <c:catAx>
        <c:axId val="-1468183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68178928"/>
        <c:crosses val="autoZero"/>
        <c:auto val="1"/>
        <c:lblAlgn val="ctr"/>
        <c:lblOffset val="100"/>
        <c:noMultiLvlLbl val="0"/>
      </c:catAx>
    </c:plotArea>
    <c:legend>
      <c:legendPos val="t"/>
      <c:overlay val="0"/>
      <c:txPr>
        <a:bodyPr/>
        <a:lstStyle/>
        <a:p>
          <a:pPr rtl="0">
            <a:defRPr sz="150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'수출 - (SC류)'!$B$46</c:f>
              <c:strCache>
                <c:ptCount val="1"/>
                <c:pt idx="0">
                  <c:v>판매가</c:v>
                </c:pt>
              </c:strCache>
            </c:strRef>
          </c:tx>
          <c:spPr>
            <a:ln w="31750"/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'수출 - (SC류)'!$C$45:$N$45</c:f>
              <c:strCache>
                <c:ptCount val="12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 경영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</c:strCache>
            </c:strRef>
          </c:cat>
          <c:val>
            <c:numRef>
              <c:f>'수출 - (SC류)'!$C$46:$N$46</c:f>
              <c:numCache>
                <c:formatCode>General</c:formatCode>
                <c:ptCount val="12"/>
                <c:pt idx="0">
                  <c:v>593</c:v>
                </c:pt>
                <c:pt idx="1">
                  <c:v>635</c:v>
                </c:pt>
                <c:pt idx="2">
                  <c:v>619</c:v>
                </c:pt>
                <c:pt idx="3">
                  <c:v>633</c:v>
                </c:pt>
                <c:pt idx="4">
                  <c:v>609</c:v>
                </c:pt>
                <c:pt idx="5">
                  <c:v>557</c:v>
                </c:pt>
                <c:pt idx="6">
                  <c:v>590</c:v>
                </c:pt>
                <c:pt idx="7">
                  <c:v>613</c:v>
                </c:pt>
                <c:pt idx="8">
                  <c:v>621</c:v>
                </c:pt>
                <c:pt idx="9">
                  <c:v>640</c:v>
                </c:pt>
                <c:pt idx="10">
                  <c:v>656</c:v>
                </c:pt>
                <c:pt idx="11">
                  <c:v>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6-47AB-8803-561E5D3543C9}"/>
            </c:ext>
          </c:extLst>
        </c:ser>
        <c:ser>
          <c:idx val="1"/>
          <c:order val="1"/>
          <c:tx>
            <c:strRef>
              <c:f>'수출 - (SC류)'!$B$47</c:f>
              <c:strCache>
                <c:ptCount val="1"/>
                <c:pt idx="0">
                  <c:v>고지가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'수출 - (SC류)'!$C$45:$N$45</c:f>
              <c:strCache>
                <c:ptCount val="12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 경영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</c:strCache>
            </c:strRef>
          </c:cat>
          <c:val>
            <c:numRef>
              <c:f>'수출 - (SC류)'!$C$47:$N$47</c:f>
              <c:numCache>
                <c:formatCode>General</c:formatCode>
                <c:ptCount val="12"/>
                <c:pt idx="0">
                  <c:v>255</c:v>
                </c:pt>
                <c:pt idx="1">
                  <c:v>220</c:v>
                </c:pt>
                <c:pt idx="2">
                  <c:v>187</c:v>
                </c:pt>
                <c:pt idx="3">
                  <c:v>168</c:v>
                </c:pt>
                <c:pt idx="4">
                  <c:v>172</c:v>
                </c:pt>
                <c:pt idx="5">
                  <c:v>175</c:v>
                </c:pt>
                <c:pt idx="6">
                  <c:v>176</c:v>
                </c:pt>
                <c:pt idx="7">
                  <c:v>176</c:v>
                </c:pt>
                <c:pt idx="8">
                  <c:v>182</c:v>
                </c:pt>
                <c:pt idx="9">
                  <c:v>194</c:v>
                </c:pt>
                <c:pt idx="10">
                  <c:v>222</c:v>
                </c:pt>
                <c:pt idx="11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6-47AB-8803-561E5D3543C9}"/>
            </c:ext>
          </c:extLst>
        </c:ser>
        <c:ser>
          <c:idx val="2"/>
          <c:order val="2"/>
          <c:tx>
            <c:strRef>
              <c:f>'수출 - (SC류)'!$B$48</c:f>
              <c:strCache>
                <c:ptCount val="1"/>
                <c:pt idx="0">
                  <c:v>Gap</c:v>
                </c:pt>
              </c:strCache>
            </c:strRef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6699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'수출 - (SC류)'!$C$45:$N$45</c:f>
              <c:strCache>
                <c:ptCount val="12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 경영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</c:strCache>
            </c:strRef>
          </c:cat>
          <c:val>
            <c:numRef>
              <c:f>'수출 - (SC류)'!$C$48:$N$48</c:f>
              <c:numCache>
                <c:formatCode>General</c:formatCode>
                <c:ptCount val="12"/>
                <c:pt idx="0">
                  <c:v>338</c:v>
                </c:pt>
                <c:pt idx="1">
                  <c:v>415</c:v>
                </c:pt>
                <c:pt idx="2">
                  <c:v>431</c:v>
                </c:pt>
                <c:pt idx="3">
                  <c:v>465</c:v>
                </c:pt>
                <c:pt idx="4">
                  <c:v>436</c:v>
                </c:pt>
                <c:pt idx="5">
                  <c:v>382</c:v>
                </c:pt>
                <c:pt idx="6">
                  <c:v>414</c:v>
                </c:pt>
                <c:pt idx="7">
                  <c:v>437</c:v>
                </c:pt>
                <c:pt idx="8">
                  <c:v>439</c:v>
                </c:pt>
                <c:pt idx="9">
                  <c:v>446</c:v>
                </c:pt>
                <c:pt idx="10">
                  <c:v>434</c:v>
                </c:pt>
                <c:pt idx="11">
                  <c:v>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26-47AB-8803-561E5D354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68183280"/>
        <c:axId val="-1468178384"/>
      </c:lineChart>
      <c:catAx>
        <c:axId val="-1468183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ko-KR"/>
          </a:p>
        </c:txPr>
        <c:crossAx val="-1468178384"/>
        <c:crosses val="autoZero"/>
        <c:auto val="1"/>
        <c:lblAlgn val="ctr"/>
        <c:lblOffset val="100"/>
        <c:noMultiLvlLbl val="0"/>
      </c:catAx>
      <c:valAx>
        <c:axId val="-1468178384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-14681832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ln>
          <a:noFill/>
        </a:ln>
      </c:spPr>
      <c:txPr>
        <a:bodyPr/>
        <a:lstStyle/>
        <a:p>
          <a:pPr>
            <a:defRPr sz="150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'1-4. 패키징(내수)'!$B$40</c:f>
              <c:strCache>
                <c:ptCount val="1"/>
                <c:pt idx="0">
                  <c:v> 펄프가 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ko-KR" altLang="en-US"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'1-4. 패키징(내수)'!$C$39:$L$39</c:f>
              <c:strCache>
                <c:ptCount val="10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경영 </c:v>
                </c:pt>
                <c:pt idx="5">
                  <c:v> 1월 </c:v>
                </c:pt>
                <c:pt idx="6">
                  <c:v> 2월 </c:v>
                </c:pt>
                <c:pt idx="7">
                  <c:v> 3월 </c:v>
                </c:pt>
                <c:pt idx="8">
                  <c:v> 4월 </c:v>
                </c:pt>
                <c:pt idx="9">
                  <c:v> 5월 </c:v>
                </c:pt>
              </c:strCache>
            </c:strRef>
          </c:cat>
          <c:val>
            <c:numRef>
              <c:f>'1-4. 패키징(내수)'!$C$40:$L$40</c:f>
              <c:numCache>
                <c:formatCode>_(* #,##0_);_(* \(#,##0\);_(* "-"_);_(@_)</c:formatCode>
                <c:ptCount val="10"/>
                <c:pt idx="0">
                  <c:v>530.65362579963039</c:v>
                </c:pt>
                <c:pt idx="1">
                  <c:v>634.35808998034781</c:v>
                </c:pt>
                <c:pt idx="2">
                  <c:v>618.49910071700572</c:v>
                </c:pt>
                <c:pt idx="3">
                  <c:v>527.32285961719106</c:v>
                </c:pt>
                <c:pt idx="4">
                  <c:v>479.13389025287887</c:v>
                </c:pt>
                <c:pt idx="5">
                  <c:v>482.63295980323124</c:v>
                </c:pt>
                <c:pt idx="6">
                  <c:v>476.97126041180371</c:v>
                </c:pt>
                <c:pt idx="7">
                  <c:v>472.82262082151738</c:v>
                </c:pt>
                <c:pt idx="8">
                  <c:v>489.05511168147916</c:v>
                </c:pt>
                <c:pt idx="9">
                  <c:v>512.70185865092481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1-4128-B178-78EC5477DD8A}"/>
            </c:ext>
          </c:extLst>
        </c:ser>
        <c:ser>
          <c:idx val="1"/>
          <c:order val="1"/>
          <c:tx>
            <c:strRef>
              <c:f>'1-4. 패키징(내수)'!$B$41</c:f>
              <c:strCache>
                <c:ptCount val="1"/>
                <c:pt idx="0">
                  <c:v> Gap 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'1-4. 패키징(내수)'!$C$39:$L$39</c:f>
              <c:strCache>
                <c:ptCount val="10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경영 </c:v>
                </c:pt>
                <c:pt idx="5">
                  <c:v> 1월 </c:v>
                </c:pt>
                <c:pt idx="6">
                  <c:v> 2월 </c:v>
                </c:pt>
                <c:pt idx="7">
                  <c:v> 3월 </c:v>
                </c:pt>
                <c:pt idx="8">
                  <c:v> 4월 </c:v>
                </c:pt>
                <c:pt idx="9">
                  <c:v> 5월 </c:v>
                </c:pt>
              </c:strCache>
            </c:strRef>
          </c:cat>
          <c:val>
            <c:numRef>
              <c:f>'1-4. 패키징(내수)'!$C$41:$L$41</c:f>
              <c:numCache>
                <c:formatCode>_(* #,##0_);_(* \(#,##0\);_(* "-"_);_(@_)</c:formatCode>
                <c:ptCount val="10"/>
                <c:pt idx="0">
                  <c:v>1491.1112151792117</c:v>
                </c:pt>
                <c:pt idx="1">
                  <c:v>1501.387065534765</c:v>
                </c:pt>
                <c:pt idx="2">
                  <c:v>1394.7256980867924</c:v>
                </c:pt>
                <c:pt idx="3">
                  <c:v>1420.2664246278919</c:v>
                </c:pt>
                <c:pt idx="4">
                  <c:v>1581.0515536081436</c:v>
                </c:pt>
                <c:pt idx="5">
                  <c:v>1475.0264071110644</c:v>
                </c:pt>
                <c:pt idx="6">
                  <c:v>1446.2860067919944</c:v>
                </c:pt>
                <c:pt idx="7">
                  <c:v>1408.5199059519325</c:v>
                </c:pt>
                <c:pt idx="8">
                  <c:v>1460.7704248065811</c:v>
                </c:pt>
                <c:pt idx="9">
                  <c:v>1582.7021086907189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1-4128-B178-78EC5477DD8A}"/>
            </c:ext>
          </c:extLst>
        </c:ser>
        <c:ser>
          <c:idx val="2"/>
          <c:order val="2"/>
          <c:tx>
            <c:strRef>
              <c:f>'1-4. 패키징(내수)'!$B$42</c:f>
              <c:strCache>
                <c:ptCount val="1"/>
                <c:pt idx="0">
                  <c:v> 판매가 </c:v>
                </c:pt>
              </c:strCache>
            </c:strRef>
          </c:tx>
          <c:spPr>
            <a:ln w="317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'1-4. 패키징(내수)'!$C$39:$L$39</c:f>
              <c:strCache>
                <c:ptCount val="10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경영 </c:v>
                </c:pt>
                <c:pt idx="5">
                  <c:v> 1월 </c:v>
                </c:pt>
                <c:pt idx="6">
                  <c:v> 2월 </c:v>
                </c:pt>
                <c:pt idx="7">
                  <c:v> 3월 </c:v>
                </c:pt>
                <c:pt idx="8">
                  <c:v> 4월 </c:v>
                </c:pt>
                <c:pt idx="9">
                  <c:v> 5월 </c:v>
                </c:pt>
              </c:strCache>
            </c:strRef>
          </c:cat>
          <c:val>
            <c:numRef>
              <c:f>'1-4. 패키징(내수)'!$C$42:$L$42</c:f>
              <c:numCache>
                <c:formatCode>_(* #,##0_);_(* \(#,##0\);_(* "-"_);_(@_)</c:formatCode>
                <c:ptCount val="10"/>
                <c:pt idx="0">
                  <c:v>2021.7648409788421</c:v>
                </c:pt>
                <c:pt idx="1">
                  <c:v>2135.7451555151129</c:v>
                </c:pt>
                <c:pt idx="2">
                  <c:v>2013.2247988037982</c:v>
                </c:pt>
                <c:pt idx="3">
                  <c:v>1947.5892842450833</c:v>
                </c:pt>
                <c:pt idx="4">
                  <c:v>2060.1854438610226</c:v>
                </c:pt>
                <c:pt idx="5">
                  <c:v>1957.6593669142956</c:v>
                </c:pt>
                <c:pt idx="6">
                  <c:v>1923.2572672037982</c:v>
                </c:pt>
                <c:pt idx="7">
                  <c:v>1881.3425267734499</c:v>
                </c:pt>
                <c:pt idx="8">
                  <c:v>1949.8255364880602</c:v>
                </c:pt>
                <c:pt idx="9">
                  <c:v>2095.4039673416437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1-4128-B178-78EC5477DD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468185456"/>
        <c:axId val="-1468184368"/>
      </c:lineChart>
      <c:catAx>
        <c:axId val="-14681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68184368"/>
        <c:crosses val="autoZero"/>
        <c:auto val="1"/>
        <c:lblAlgn val="ctr"/>
        <c:lblOffset val="100"/>
        <c:noMultiLvlLbl val="0"/>
      </c:catAx>
      <c:valAx>
        <c:axId val="-1468184368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-146818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5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'패키징(수출)'!$B$39</c:f>
              <c:strCache>
                <c:ptCount val="1"/>
                <c:pt idx="0">
                  <c:v> 펄프가 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dPt>
            <c:idx val="1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C7F-4B3B-8C76-C584FD7CEE54}"/>
              </c:ext>
            </c:extLst>
          </c:dPt>
          <c:dPt>
            <c:idx val="2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C7F-4B3B-8C76-C584FD7CEE54}"/>
              </c:ext>
            </c:extLst>
          </c:dPt>
          <c:dPt>
            <c:idx val="3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C7F-4B3B-8C76-C584FD7CEE54}"/>
              </c:ext>
            </c:extLst>
          </c:dPt>
          <c:dPt>
            <c:idx val="4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C7F-4B3B-8C76-C584FD7CEE54}"/>
              </c:ext>
            </c:extLst>
          </c:dPt>
          <c:dPt>
            <c:idx val="5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C7F-4B3B-8C76-C584FD7CEE54}"/>
              </c:ext>
            </c:extLst>
          </c:dPt>
          <c:dPt>
            <c:idx val="6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C7F-4B3B-8C76-C584FD7CEE54}"/>
              </c:ext>
            </c:extLst>
          </c:dPt>
          <c:dPt>
            <c:idx val="7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C7F-4B3B-8C76-C584FD7CEE54}"/>
              </c:ext>
            </c:extLst>
          </c:dPt>
          <c:dPt>
            <c:idx val="8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C7F-4B3B-8C76-C584FD7CEE54}"/>
              </c:ext>
            </c:extLst>
          </c:dPt>
          <c:dPt>
            <c:idx val="9"/>
            <c:marker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C7F-4B3B-8C76-C584FD7CEE5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F98-498B-9E75-362BE3A5D89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C7F-4B3B-8C76-C584FD7CEE5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C7F-4B3B-8C76-C584FD7CEE5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C7F-4B3B-8C76-C584FD7CEE5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C7F-4B3B-8C76-C584FD7CEE5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C7F-4B3B-8C76-C584FD7CEE5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C7F-4B3B-8C76-C584FD7CEE5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C7F-4B3B-8C76-C584FD7CEE5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C7F-4B3B-8C76-C584FD7CEE5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>
                    <a:defRPr lang="ko-KR" altLang="en-US" sz="18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C7F-4B3B-8C76-C584FD7CEE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ko-KR" altLang="en-US"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'패키징(수출)'!$C$38:$L$38</c:f>
              <c:strCache>
                <c:ptCount val="10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경영 </c:v>
                </c:pt>
                <c:pt idx="5">
                  <c:v> 1월 </c:v>
                </c:pt>
                <c:pt idx="6">
                  <c:v> 2월 </c:v>
                </c:pt>
                <c:pt idx="7">
                  <c:v> 3월 </c:v>
                </c:pt>
                <c:pt idx="8">
                  <c:v> 4월 </c:v>
                </c:pt>
                <c:pt idx="9">
                  <c:v> 5월 </c:v>
                </c:pt>
              </c:strCache>
            </c:strRef>
          </c:cat>
          <c:val>
            <c:numRef>
              <c:f>'패키징(수출)'!$C$39:$L$39</c:f>
              <c:numCache>
                <c:formatCode>_(* #,##0_);_(* \(#,##0\);_(* "-"_);_(@_)</c:formatCode>
                <c:ptCount val="10"/>
                <c:pt idx="0">
                  <c:v>519.07703804789844</c:v>
                </c:pt>
                <c:pt idx="1">
                  <c:v>623.35653583655733</c:v>
                </c:pt>
                <c:pt idx="2">
                  <c:v>664.39370984620291</c:v>
                </c:pt>
                <c:pt idx="3">
                  <c:v>561.17209415850482</c:v>
                </c:pt>
                <c:pt idx="4">
                  <c:v>475.58045224174799</c:v>
                </c:pt>
                <c:pt idx="5">
                  <c:v>497.36188862686168</c:v>
                </c:pt>
                <c:pt idx="6">
                  <c:v>479.40866120882487</c:v>
                </c:pt>
                <c:pt idx="7">
                  <c:v>486.23778610954622</c:v>
                </c:pt>
                <c:pt idx="8">
                  <c:v>496.9683145559967</c:v>
                </c:pt>
                <c:pt idx="9">
                  <c:v>521.67223050461098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7F-4B3B-8C76-C584FD7CEE54}"/>
            </c:ext>
          </c:extLst>
        </c:ser>
        <c:ser>
          <c:idx val="1"/>
          <c:order val="1"/>
          <c:tx>
            <c:strRef>
              <c:f>'패키징(수출)'!$B$40</c:f>
              <c:strCache>
                <c:ptCount val="1"/>
                <c:pt idx="0">
                  <c:v> Gap 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ko-KR" altLang="en-US"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'패키징(수출)'!$C$38:$L$38</c:f>
              <c:strCache>
                <c:ptCount val="10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경영 </c:v>
                </c:pt>
                <c:pt idx="5">
                  <c:v> 1월 </c:v>
                </c:pt>
                <c:pt idx="6">
                  <c:v> 2월 </c:v>
                </c:pt>
                <c:pt idx="7">
                  <c:v> 3월 </c:v>
                </c:pt>
                <c:pt idx="8">
                  <c:v> 4월 </c:v>
                </c:pt>
                <c:pt idx="9">
                  <c:v> 5월 </c:v>
                </c:pt>
              </c:strCache>
            </c:strRef>
          </c:cat>
          <c:val>
            <c:numRef>
              <c:f>'패키징(수출)'!$C$40:$L$40</c:f>
              <c:numCache>
                <c:formatCode>_(* #,##0_);_(* \(#,##0\);_(* "-"_);_(@_)</c:formatCode>
                <c:ptCount val="10"/>
                <c:pt idx="0">
                  <c:v>1095.9303805031448</c:v>
                </c:pt>
                <c:pt idx="1">
                  <c:v>1155.5364168652814</c:v>
                </c:pt>
                <c:pt idx="2">
                  <c:v>1167.0578371352217</c:v>
                </c:pt>
                <c:pt idx="3">
                  <c:v>1129.3628392714529</c:v>
                </c:pt>
                <c:pt idx="4">
                  <c:v>1329.0039105560738</c:v>
                </c:pt>
                <c:pt idx="5">
                  <c:v>1050.9225128695143</c:v>
                </c:pt>
                <c:pt idx="6">
                  <c:v>979.28040968164669</c:v>
                </c:pt>
                <c:pt idx="7">
                  <c:v>1081.4926563758838</c:v>
                </c:pt>
                <c:pt idx="8">
                  <c:v>1049.948260679409</c:v>
                </c:pt>
                <c:pt idx="9">
                  <c:v>1109.3349751051078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7F-4B3B-8C76-C584FD7CEE54}"/>
            </c:ext>
          </c:extLst>
        </c:ser>
        <c:ser>
          <c:idx val="2"/>
          <c:order val="2"/>
          <c:tx>
            <c:strRef>
              <c:f>'패키징(수출)'!$B$41</c:f>
              <c:strCache>
                <c:ptCount val="1"/>
                <c:pt idx="0">
                  <c:v> 판매가 </c:v>
                </c:pt>
              </c:strCache>
            </c:strRef>
          </c:tx>
          <c:spPr>
            <a:ln w="317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'패키징(수출)'!$C$38:$L$38</c:f>
              <c:strCache>
                <c:ptCount val="10"/>
                <c:pt idx="0">
                  <c:v> 17년 </c:v>
                </c:pt>
                <c:pt idx="1">
                  <c:v> 18년 </c:v>
                </c:pt>
                <c:pt idx="2">
                  <c:v> 19년 </c:v>
                </c:pt>
                <c:pt idx="3">
                  <c:v> 20년 </c:v>
                </c:pt>
                <c:pt idx="4">
                  <c:v> 21년 경영 </c:v>
                </c:pt>
                <c:pt idx="5">
                  <c:v> 1월 </c:v>
                </c:pt>
                <c:pt idx="6">
                  <c:v> 2월 </c:v>
                </c:pt>
                <c:pt idx="7">
                  <c:v> 3월 </c:v>
                </c:pt>
                <c:pt idx="8">
                  <c:v> 4월 </c:v>
                </c:pt>
                <c:pt idx="9">
                  <c:v> 5월 </c:v>
                </c:pt>
              </c:strCache>
            </c:strRef>
          </c:cat>
          <c:val>
            <c:numRef>
              <c:f>'패키징(수출)'!$C$41:$L$41</c:f>
              <c:numCache>
                <c:formatCode>_(* #,##0_);_(* \(#,##0\);_(* "-"_);_(@_)</c:formatCode>
                <c:ptCount val="10"/>
                <c:pt idx="0">
                  <c:v>1615.0074185510432</c:v>
                </c:pt>
                <c:pt idx="1">
                  <c:v>1778.8929527018386</c:v>
                </c:pt>
                <c:pt idx="2">
                  <c:v>1831.4515469814246</c:v>
                </c:pt>
                <c:pt idx="3">
                  <c:v>1690.5349334299578</c:v>
                </c:pt>
                <c:pt idx="4">
                  <c:v>1804.5843627978218</c:v>
                </c:pt>
                <c:pt idx="5">
                  <c:v>1548.2844014963759</c:v>
                </c:pt>
                <c:pt idx="6">
                  <c:v>1458.6890708904716</c:v>
                </c:pt>
                <c:pt idx="7">
                  <c:v>1567.7304424854301</c:v>
                </c:pt>
                <c:pt idx="8">
                  <c:v>1546.9165752354056</c:v>
                </c:pt>
                <c:pt idx="9">
                  <c:v>1631.0072056097188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7F-4B3B-8C76-C584FD7CEE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468180560"/>
        <c:axId val="-1468180016"/>
      </c:lineChart>
      <c:catAx>
        <c:axId val="-14681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68180016"/>
        <c:crosses val="autoZero"/>
        <c:auto val="1"/>
        <c:lblAlgn val="ctr"/>
        <c:lblOffset val="100"/>
        <c:noMultiLvlLbl val="0"/>
      </c:catAx>
      <c:valAx>
        <c:axId val="-1468180016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-14681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5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[1]그래프!$S$4</c:f>
              <c:strCache>
                <c:ptCount val="1"/>
                <c:pt idx="0">
                  <c:v>679.3642137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ko-KR" altLang="en-US" sz="18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[1]그래프!$T$3:$AE$3</c:f>
              <c:strCache>
                <c:ptCount val="12"/>
                <c:pt idx="1">
                  <c:v>패키징 수출</c:v>
                </c:pt>
                <c:pt idx="2">
                  <c:v>17년</c:v>
                </c:pt>
                <c:pt idx="3">
                  <c:v>18년</c:v>
                </c:pt>
                <c:pt idx="4">
                  <c:v>19년</c:v>
                </c:pt>
                <c:pt idx="5">
                  <c:v>20년</c:v>
                </c:pt>
                <c:pt idx="6">
                  <c:v>21년 경영</c:v>
                </c:pt>
                <c:pt idx="7">
                  <c:v>1월</c:v>
                </c:pt>
                <c:pt idx="8">
                  <c:v>2월</c:v>
                </c:pt>
                <c:pt idx="9">
                  <c:v>3월</c:v>
                </c:pt>
                <c:pt idx="10">
                  <c:v>4월</c:v>
                </c:pt>
                <c:pt idx="11">
                  <c:v>5월</c:v>
                </c:pt>
              </c:strCache>
            </c:strRef>
          </c:cat>
          <c:val>
            <c:numRef>
              <c:f>[1]그래프!$T$4:$AE$4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519</c:v>
                </c:pt>
                <c:pt idx="3">
                  <c:v>623</c:v>
                </c:pt>
                <c:pt idx="4">
                  <c:v>664</c:v>
                </c:pt>
                <c:pt idx="5">
                  <c:v>561</c:v>
                </c:pt>
                <c:pt idx="6">
                  <c:v>476</c:v>
                </c:pt>
                <c:pt idx="7">
                  <c:v>497</c:v>
                </c:pt>
                <c:pt idx="8">
                  <c:v>479</c:v>
                </c:pt>
                <c:pt idx="9">
                  <c:v>486</c:v>
                </c:pt>
                <c:pt idx="10">
                  <c:v>497</c:v>
                </c:pt>
                <c:pt idx="11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9-447E-A239-7D17284636A1}"/>
            </c:ext>
          </c:extLst>
        </c:ser>
        <c:ser>
          <c:idx val="1"/>
          <c:order val="1"/>
          <c:tx>
            <c:strRef>
              <c:f>[1]그래프!$S$5</c:f>
              <c:strCache>
                <c:ptCount val="1"/>
                <c:pt idx="0">
                  <c:v>1321.491715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[1]그래프!$T$3:$AE$3</c:f>
              <c:strCache>
                <c:ptCount val="12"/>
                <c:pt idx="1">
                  <c:v>패키징 수출</c:v>
                </c:pt>
                <c:pt idx="2">
                  <c:v>17년</c:v>
                </c:pt>
                <c:pt idx="3">
                  <c:v>18년</c:v>
                </c:pt>
                <c:pt idx="4">
                  <c:v>19년</c:v>
                </c:pt>
                <c:pt idx="5">
                  <c:v>20년</c:v>
                </c:pt>
                <c:pt idx="6">
                  <c:v>21년 경영</c:v>
                </c:pt>
                <c:pt idx="7">
                  <c:v>1월</c:v>
                </c:pt>
                <c:pt idx="8">
                  <c:v>2월</c:v>
                </c:pt>
                <c:pt idx="9">
                  <c:v>3월</c:v>
                </c:pt>
                <c:pt idx="10">
                  <c:v>4월</c:v>
                </c:pt>
                <c:pt idx="11">
                  <c:v>5월</c:v>
                </c:pt>
              </c:strCache>
            </c:strRef>
          </c:cat>
          <c:val>
            <c:numRef>
              <c:f>[1]그래프!$T$5:$AE$5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1096</c:v>
                </c:pt>
                <c:pt idx="3">
                  <c:v>1156</c:v>
                </c:pt>
                <c:pt idx="4">
                  <c:v>1167</c:v>
                </c:pt>
                <c:pt idx="5">
                  <c:v>1129</c:v>
                </c:pt>
                <c:pt idx="6">
                  <c:v>1329</c:v>
                </c:pt>
                <c:pt idx="7">
                  <c:v>1051</c:v>
                </c:pt>
                <c:pt idx="8">
                  <c:v>979</c:v>
                </c:pt>
                <c:pt idx="9">
                  <c:v>1081</c:v>
                </c:pt>
                <c:pt idx="10">
                  <c:v>1050</c:v>
                </c:pt>
                <c:pt idx="11">
                  <c:v>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9-447E-A239-7D17284636A1}"/>
            </c:ext>
          </c:extLst>
        </c:ser>
        <c:ser>
          <c:idx val="2"/>
          <c:order val="2"/>
          <c:tx>
            <c:strRef>
              <c:f>[1]그래프!$S$6</c:f>
              <c:strCache>
                <c:ptCount val="1"/>
                <c:pt idx="0">
                  <c:v>2000.855928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accent5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[1]그래프!$T$3:$AE$3</c:f>
              <c:strCache>
                <c:ptCount val="12"/>
                <c:pt idx="1">
                  <c:v>패키징 수출</c:v>
                </c:pt>
                <c:pt idx="2">
                  <c:v>17년</c:v>
                </c:pt>
                <c:pt idx="3">
                  <c:v>18년</c:v>
                </c:pt>
                <c:pt idx="4">
                  <c:v>19년</c:v>
                </c:pt>
                <c:pt idx="5">
                  <c:v>20년</c:v>
                </c:pt>
                <c:pt idx="6">
                  <c:v>21년 경영</c:v>
                </c:pt>
                <c:pt idx="7">
                  <c:v>1월</c:v>
                </c:pt>
                <c:pt idx="8">
                  <c:v>2월</c:v>
                </c:pt>
                <c:pt idx="9">
                  <c:v>3월</c:v>
                </c:pt>
                <c:pt idx="10">
                  <c:v>4월</c:v>
                </c:pt>
                <c:pt idx="11">
                  <c:v>5월</c:v>
                </c:pt>
              </c:strCache>
            </c:strRef>
          </c:cat>
          <c:val>
            <c:numRef>
              <c:f>[1]그래프!$T$6:$AE$6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1615</c:v>
                </c:pt>
                <c:pt idx="3">
                  <c:v>1779</c:v>
                </c:pt>
                <c:pt idx="4">
                  <c:v>1831</c:v>
                </c:pt>
                <c:pt idx="5">
                  <c:v>1691</c:v>
                </c:pt>
                <c:pt idx="6">
                  <c:v>1805</c:v>
                </c:pt>
                <c:pt idx="7">
                  <c:v>1548</c:v>
                </c:pt>
                <c:pt idx="8">
                  <c:v>1459</c:v>
                </c:pt>
                <c:pt idx="9">
                  <c:v>1568</c:v>
                </c:pt>
                <c:pt idx="10">
                  <c:v>1547</c:v>
                </c:pt>
                <c:pt idx="11">
                  <c:v>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9-447E-A239-7D1728463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0270704"/>
        <c:axId val="-750274512"/>
      </c:lineChart>
      <c:catAx>
        <c:axId val="-750270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50274512"/>
        <c:crosses val="autoZero"/>
        <c:auto val="1"/>
        <c:lblAlgn val="ctr"/>
        <c:lblOffset val="100"/>
        <c:noMultiLvlLbl val="0"/>
      </c:catAx>
      <c:valAx>
        <c:axId val="-750274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750270704"/>
        <c:crosses val="autoZero"/>
        <c:crossBetween val="between"/>
      </c:valAx>
      <c:spPr>
        <a:ln>
          <a:noFill/>
        </a:ln>
      </c:spPr>
    </c:plotArea>
    <c:legend>
      <c:legendPos val="t"/>
      <c:overlay val="0"/>
      <c:txPr>
        <a:bodyPr/>
        <a:lstStyle/>
        <a:p>
          <a:pPr>
            <a:defRPr sz="1500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[1]그래프!$C$4</c:f>
              <c:strCache>
                <c:ptCount val="1"/>
                <c:pt idx="0">
                  <c:v>펄프가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[1]그래프!$D$3:$O$3</c:f>
              <c:strCache>
                <c:ptCount val="12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 경영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</c:strCache>
            </c:strRef>
          </c:cat>
          <c:val>
            <c:numRef>
              <c:f>[1]그래프!$D$4:$O$4</c:f>
              <c:numCache>
                <c:formatCode>General</c:formatCode>
                <c:ptCount val="12"/>
                <c:pt idx="0">
                  <c:v>531</c:v>
                </c:pt>
                <c:pt idx="1">
                  <c:v>634</c:v>
                </c:pt>
                <c:pt idx="2">
                  <c:v>619</c:v>
                </c:pt>
                <c:pt idx="3">
                  <c:v>527</c:v>
                </c:pt>
                <c:pt idx="4">
                  <c:v>479</c:v>
                </c:pt>
                <c:pt idx="5">
                  <c:v>483</c:v>
                </c:pt>
                <c:pt idx="6">
                  <c:v>477</c:v>
                </c:pt>
                <c:pt idx="7">
                  <c:v>473</c:v>
                </c:pt>
                <c:pt idx="8">
                  <c:v>489</c:v>
                </c:pt>
                <c:pt idx="9">
                  <c:v>513</c:v>
                </c:pt>
                <c:pt idx="10">
                  <c:v>542</c:v>
                </c:pt>
                <c:pt idx="11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7-4A49-8F30-1887DFAC7EEC}"/>
            </c:ext>
          </c:extLst>
        </c:ser>
        <c:ser>
          <c:idx val="1"/>
          <c:order val="1"/>
          <c:tx>
            <c:strRef>
              <c:f>[1]그래프!$C$5</c:f>
              <c:strCache>
                <c:ptCount val="1"/>
                <c:pt idx="0">
                  <c:v>Gap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[1]그래프!$D$3:$O$3</c:f>
              <c:strCache>
                <c:ptCount val="12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 경영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</c:strCache>
            </c:strRef>
          </c:cat>
          <c:val>
            <c:numRef>
              <c:f>[1]그래프!$D$5:$O$5</c:f>
              <c:numCache>
                <c:formatCode>General</c:formatCode>
                <c:ptCount val="12"/>
                <c:pt idx="0">
                  <c:v>1491</c:v>
                </c:pt>
                <c:pt idx="1">
                  <c:v>1501</c:v>
                </c:pt>
                <c:pt idx="2">
                  <c:v>1395</c:v>
                </c:pt>
                <c:pt idx="3">
                  <c:v>1420</c:v>
                </c:pt>
                <c:pt idx="4">
                  <c:v>1581</c:v>
                </c:pt>
                <c:pt idx="5">
                  <c:v>1475</c:v>
                </c:pt>
                <c:pt idx="6">
                  <c:v>1446</c:v>
                </c:pt>
                <c:pt idx="7">
                  <c:v>1409</c:v>
                </c:pt>
                <c:pt idx="8">
                  <c:v>1461</c:v>
                </c:pt>
                <c:pt idx="9">
                  <c:v>1583</c:v>
                </c:pt>
                <c:pt idx="10">
                  <c:v>1518</c:v>
                </c:pt>
                <c:pt idx="11">
                  <c:v>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7-4A49-8F30-1887DFAC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0271792"/>
        <c:axId val="-750276144"/>
      </c:lineChart>
      <c:lineChart>
        <c:grouping val="standard"/>
        <c:varyColors val="0"/>
        <c:ser>
          <c:idx val="2"/>
          <c:order val="2"/>
          <c:tx>
            <c:strRef>
              <c:f>[1]그래프!$C$6</c:f>
              <c:strCache>
                <c:ptCount val="1"/>
                <c:pt idx="0">
                  <c:v>판매가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accent5">
                        <a:lumMod val="7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[1]그래프!$D$3:$O$3</c:f>
              <c:strCache>
                <c:ptCount val="12"/>
                <c:pt idx="0">
                  <c:v>17년</c:v>
                </c:pt>
                <c:pt idx="1">
                  <c:v>18년</c:v>
                </c:pt>
                <c:pt idx="2">
                  <c:v>19년</c:v>
                </c:pt>
                <c:pt idx="3">
                  <c:v>20년</c:v>
                </c:pt>
                <c:pt idx="4">
                  <c:v>21년 경영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</c:strCache>
            </c:strRef>
          </c:cat>
          <c:val>
            <c:numRef>
              <c:f>[1]그래프!$D$6:$O$6</c:f>
              <c:numCache>
                <c:formatCode>General</c:formatCode>
                <c:ptCount val="12"/>
                <c:pt idx="0">
                  <c:v>2022</c:v>
                </c:pt>
                <c:pt idx="1">
                  <c:v>2136</c:v>
                </c:pt>
                <c:pt idx="2">
                  <c:v>2013</c:v>
                </c:pt>
                <c:pt idx="3">
                  <c:v>1948</c:v>
                </c:pt>
                <c:pt idx="4">
                  <c:v>2060</c:v>
                </c:pt>
                <c:pt idx="5">
                  <c:v>1958</c:v>
                </c:pt>
                <c:pt idx="6">
                  <c:v>1923</c:v>
                </c:pt>
                <c:pt idx="7">
                  <c:v>1881</c:v>
                </c:pt>
                <c:pt idx="8">
                  <c:v>1950</c:v>
                </c:pt>
                <c:pt idx="9">
                  <c:v>2095</c:v>
                </c:pt>
                <c:pt idx="10">
                  <c:v>2060</c:v>
                </c:pt>
                <c:pt idx="11">
                  <c:v>2050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E7-4A49-8F30-1887DFAC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0273968"/>
        <c:axId val="-750275056"/>
      </c:lineChart>
      <c:catAx>
        <c:axId val="-750271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50276144"/>
        <c:crosses val="autoZero"/>
        <c:auto val="1"/>
        <c:lblAlgn val="ctr"/>
        <c:lblOffset val="100"/>
        <c:noMultiLvlLbl val="0"/>
      </c:catAx>
      <c:valAx>
        <c:axId val="-750276144"/>
        <c:scaling>
          <c:orientation val="minMax"/>
          <c:max val="2500"/>
          <c:min val="200"/>
        </c:scaling>
        <c:delete val="1"/>
        <c:axPos val="l"/>
        <c:numFmt formatCode="General" sourceLinked="1"/>
        <c:majorTickMark val="out"/>
        <c:minorTickMark val="none"/>
        <c:tickLblPos val="nextTo"/>
        <c:crossAx val="-750271792"/>
        <c:crosses val="autoZero"/>
        <c:crossBetween val="between"/>
      </c:valAx>
      <c:valAx>
        <c:axId val="-750275056"/>
        <c:scaling>
          <c:orientation val="minMax"/>
          <c:max val="1000"/>
          <c:min val="400"/>
        </c:scaling>
        <c:delete val="1"/>
        <c:axPos val="r"/>
        <c:numFmt formatCode="General" sourceLinked="1"/>
        <c:majorTickMark val="out"/>
        <c:minorTickMark val="none"/>
        <c:tickLblPos val="nextTo"/>
        <c:crossAx val="-750273968"/>
        <c:crosses val="max"/>
        <c:crossBetween val="between"/>
      </c:valAx>
      <c:catAx>
        <c:axId val="-750273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75027505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666738</xdr:colOff>
      <xdr:row>192</xdr:row>
      <xdr:rowOff>0</xdr:rowOff>
    </xdr:from>
    <xdr:to>
      <xdr:col>32</xdr:col>
      <xdr:colOff>217714</xdr:colOff>
      <xdr:row>211</xdr:row>
      <xdr:rowOff>204105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625917</xdr:colOff>
      <xdr:row>156</xdr:row>
      <xdr:rowOff>108858</xdr:rowOff>
    </xdr:from>
    <xdr:to>
      <xdr:col>32</xdr:col>
      <xdr:colOff>258536</xdr:colOff>
      <xdr:row>176</xdr:row>
      <xdr:rowOff>108857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421820</xdr:colOff>
      <xdr:row>48</xdr:row>
      <xdr:rowOff>0</xdr:rowOff>
    </xdr:from>
    <xdr:to>
      <xdr:col>20</xdr:col>
      <xdr:colOff>54429</xdr:colOff>
      <xdr:row>67</xdr:row>
      <xdr:rowOff>204106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380998</xdr:colOff>
      <xdr:row>14</xdr:row>
      <xdr:rowOff>0</xdr:rowOff>
    </xdr:from>
    <xdr:to>
      <xdr:col>20</xdr:col>
      <xdr:colOff>149678</xdr:colOff>
      <xdr:row>32</xdr:row>
      <xdr:rowOff>204106</xdr:rowOff>
    </xdr:to>
    <xdr:graphicFrame macro="">
      <xdr:nvGraphicFramePr>
        <xdr:cNvPr id="68" name="차트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707572</xdr:colOff>
      <xdr:row>527</xdr:row>
      <xdr:rowOff>81644</xdr:rowOff>
    </xdr:from>
    <xdr:to>
      <xdr:col>9</xdr:col>
      <xdr:colOff>0</xdr:colOff>
      <xdr:row>553</xdr:row>
      <xdr:rowOff>0</xdr:rowOff>
    </xdr:to>
    <xdr:graphicFrame macro="">
      <xdr:nvGraphicFramePr>
        <xdr:cNvPr id="72" name="차트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157090</xdr:colOff>
      <xdr:row>299</xdr:row>
      <xdr:rowOff>68036</xdr:rowOff>
    </xdr:from>
    <xdr:to>
      <xdr:col>20</xdr:col>
      <xdr:colOff>0</xdr:colOff>
      <xdr:row>325</xdr:row>
      <xdr:rowOff>101436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873331</xdr:colOff>
      <xdr:row>303</xdr:row>
      <xdr:rowOff>79243</xdr:rowOff>
    </xdr:from>
    <xdr:to>
      <xdr:col>21</xdr:col>
      <xdr:colOff>764474</xdr:colOff>
      <xdr:row>305</xdr:row>
      <xdr:rowOff>149678</xdr:rowOff>
    </xdr:to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8535402" y="68822529"/>
          <a:ext cx="2993572" cy="47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16083</xdr:colOff>
      <xdr:row>315</xdr:row>
      <xdr:rowOff>32231</xdr:rowOff>
    </xdr:from>
    <xdr:to>
      <xdr:col>21</xdr:col>
      <xdr:colOff>665147</xdr:colOff>
      <xdr:row>317</xdr:row>
      <xdr:rowOff>122463</xdr:rowOff>
    </xdr:to>
    <xdr:sp macro="" textlink="">
      <xdr:nvSpPr>
        <xdr:cNvPr id="26" name="TextBox 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8712297" y="71224802"/>
          <a:ext cx="2717350" cy="498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18</xdr:col>
      <xdr:colOff>1009403</xdr:colOff>
      <xdr:row>312</xdr:row>
      <xdr:rowOff>157315</xdr:rowOff>
    </xdr:from>
    <xdr:to>
      <xdr:col>21</xdr:col>
      <xdr:colOff>718706</xdr:colOff>
      <xdr:row>314</xdr:row>
      <xdr:rowOff>176895</xdr:rowOff>
    </xdr:to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8671474" y="70737565"/>
          <a:ext cx="2811732" cy="427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2</xdr:col>
      <xdr:colOff>675404</xdr:colOff>
      <xdr:row>343</xdr:row>
      <xdr:rowOff>0</xdr:rowOff>
    </xdr:from>
    <xdr:to>
      <xdr:col>20</xdr:col>
      <xdr:colOff>0</xdr:colOff>
      <xdr:row>364</xdr:row>
      <xdr:rowOff>502227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48244</xdr:colOff>
      <xdr:row>347</xdr:row>
      <xdr:rowOff>149679</xdr:rowOff>
    </xdr:from>
    <xdr:to>
      <xdr:col>21</xdr:col>
      <xdr:colOff>402586</xdr:colOff>
      <xdr:row>349</xdr:row>
      <xdr:rowOff>171687</xdr:rowOff>
    </xdr:to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8744458" y="79424893"/>
          <a:ext cx="2422628" cy="430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48244</xdr:colOff>
      <xdr:row>351</xdr:row>
      <xdr:rowOff>53335</xdr:rowOff>
    </xdr:from>
    <xdr:to>
      <xdr:col>21</xdr:col>
      <xdr:colOff>333052</xdr:colOff>
      <xdr:row>353</xdr:row>
      <xdr:rowOff>108856</xdr:rowOff>
    </xdr:to>
    <xdr:sp macro="" textlink="">
      <xdr:nvSpPr>
        <xdr:cNvPr id="34" name="TextBox 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8744458" y="80144978"/>
          <a:ext cx="2353094" cy="463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19</xdr:col>
      <xdr:colOff>143494</xdr:colOff>
      <xdr:row>358</xdr:row>
      <xdr:rowOff>82152</xdr:rowOff>
    </xdr:from>
    <xdr:to>
      <xdr:col>21</xdr:col>
      <xdr:colOff>356263</xdr:colOff>
      <xdr:row>360</xdr:row>
      <xdr:rowOff>108858</xdr:rowOff>
    </xdr:to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8839708" y="81602545"/>
          <a:ext cx="2281055" cy="434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고지가</a:t>
          </a:r>
        </a:p>
      </xdr:txBody>
    </xdr:sp>
    <xdr:clientData/>
  </xdr:twoCellAnchor>
  <xdr:twoCellAnchor>
    <xdr:from>
      <xdr:col>2</xdr:col>
      <xdr:colOff>238515</xdr:colOff>
      <xdr:row>528</xdr:row>
      <xdr:rowOff>0</xdr:rowOff>
    </xdr:from>
    <xdr:to>
      <xdr:col>19</xdr:col>
      <xdr:colOff>1034142</xdr:colOff>
      <xdr:row>553</xdr:row>
      <xdr:rowOff>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108859</xdr:colOff>
      <xdr:row>544</xdr:row>
      <xdr:rowOff>95758</xdr:rowOff>
    </xdr:from>
    <xdr:to>
      <xdr:col>20</xdr:col>
      <xdr:colOff>1006932</xdr:colOff>
      <xdr:row>546</xdr:row>
      <xdr:rowOff>122464</xdr:rowOff>
    </xdr:to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8805073" y="124029615"/>
          <a:ext cx="1932216" cy="434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19</xdr:col>
      <xdr:colOff>68039</xdr:colOff>
      <xdr:row>539</xdr:row>
      <xdr:rowOff>39734</xdr:rowOff>
    </xdr:from>
    <xdr:to>
      <xdr:col>21</xdr:col>
      <xdr:colOff>4008</xdr:colOff>
      <xdr:row>541</xdr:row>
      <xdr:rowOff>95251</xdr:rowOff>
    </xdr:to>
    <xdr:sp macro="" textlink="">
      <xdr:nvSpPr>
        <xdr:cNvPr id="37" name="Text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8764253" y="122953055"/>
          <a:ext cx="2004255" cy="463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19</xdr:col>
      <xdr:colOff>639537</xdr:colOff>
      <xdr:row>18</xdr:row>
      <xdr:rowOff>163288</xdr:rowOff>
    </xdr:from>
    <xdr:to>
      <xdr:col>21</xdr:col>
      <xdr:colOff>857250</xdr:colOff>
      <xdr:row>21</xdr:row>
      <xdr:rowOff>29617</xdr:rowOff>
    </xdr:to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9335751" y="4667252"/>
          <a:ext cx="2285999" cy="47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734787</xdr:colOff>
      <xdr:row>23</xdr:row>
      <xdr:rowOff>48242</xdr:rowOff>
    </xdr:from>
    <xdr:to>
      <xdr:col>21</xdr:col>
      <xdr:colOff>681226</xdr:colOff>
      <xdr:row>25</xdr:row>
      <xdr:rowOff>138474</xdr:rowOff>
    </xdr:to>
    <xdr:sp macro="" textlink="">
      <xdr:nvSpPr>
        <xdr:cNvPr id="39" name="Text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9431001" y="5572742"/>
          <a:ext cx="2014725" cy="4984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19</xdr:col>
      <xdr:colOff>775607</xdr:colOff>
      <xdr:row>26</xdr:row>
      <xdr:rowOff>50861</xdr:rowOff>
    </xdr:from>
    <xdr:to>
      <xdr:col>21</xdr:col>
      <xdr:colOff>816428</xdr:colOff>
      <xdr:row>28</xdr:row>
      <xdr:rowOff>70440</xdr:rowOff>
    </xdr:to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9471821" y="6187682"/>
          <a:ext cx="2109107" cy="427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19</xdr:col>
      <xdr:colOff>503463</xdr:colOff>
      <xdr:row>58</xdr:row>
      <xdr:rowOff>200539</xdr:rowOff>
    </xdr:from>
    <xdr:to>
      <xdr:col>21</xdr:col>
      <xdr:colOff>544284</xdr:colOff>
      <xdr:row>61</xdr:row>
      <xdr:rowOff>16012</xdr:rowOff>
    </xdr:to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9199677" y="13399468"/>
          <a:ext cx="2109107" cy="427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31</xdr:col>
      <xdr:colOff>129885</xdr:colOff>
      <xdr:row>161</xdr:row>
      <xdr:rowOff>95250</xdr:rowOff>
    </xdr:from>
    <xdr:to>
      <xdr:col>33</xdr:col>
      <xdr:colOff>696438</xdr:colOff>
      <xdr:row>163</xdr:row>
      <xdr:rowOff>165687</xdr:rowOff>
    </xdr:to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1235814" y="36603214"/>
          <a:ext cx="2634838" cy="478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31</xdr:col>
      <xdr:colOff>321214</xdr:colOff>
      <xdr:row>199</xdr:row>
      <xdr:rowOff>204106</xdr:rowOff>
    </xdr:from>
    <xdr:to>
      <xdr:col>33</xdr:col>
      <xdr:colOff>885912</xdr:colOff>
      <xdr:row>202</xdr:row>
      <xdr:rowOff>70435</xdr:rowOff>
    </xdr:to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1427143" y="44998820"/>
          <a:ext cx="2632983" cy="47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31</xdr:col>
      <xdr:colOff>461820</xdr:colOff>
      <xdr:row>202</xdr:row>
      <xdr:rowOff>111741</xdr:rowOff>
    </xdr:from>
    <xdr:to>
      <xdr:col>33</xdr:col>
      <xdr:colOff>757512</xdr:colOff>
      <xdr:row>204</xdr:row>
      <xdr:rowOff>201974</xdr:rowOff>
    </xdr:to>
    <xdr:sp macro="" textlink="">
      <xdr:nvSpPr>
        <xdr:cNvPr id="51" name="TextBox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1567749" y="45518777"/>
          <a:ext cx="2363977" cy="498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31</xdr:col>
      <xdr:colOff>505323</xdr:colOff>
      <xdr:row>206</xdr:row>
      <xdr:rowOff>78075</xdr:rowOff>
    </xdr:from>
    <xdr:to>
      <xdr:col>33</xdr:col>
      <xdr:colOff>890448</xdr:colOff>
      <xdr:row>208</xdr:row>
      <xdr:rowOff>97653</xdr:rowOff>
    </xdr:to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31611252" y="46301539"/>
          <a:ext cx="2453410" cy="427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2</xdr:col>
      <xdr:colOff>666741</xdr:colOff>
      <xdr:row>121</xdr:row>
      <xdr:rowOff>0</xdr:rowOff>
    </xdr:from>
    <xdr:to>
      <xdr:col>20</xdr:col>
      <xdr:colOff>81643</xdr:colOff>
      <xdr:row>139</xdr:row>
      <xdr:rowOff>204105</xdr:rowOff>
    </xdr:to>
    <xdr:graphicFrame macro="">
      <xdr:nvGraphicFramePr>
        <xdr:cNvPr id="53" name="차트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625919</xdr:colOff>
      <xdr:row>85</xdr:row>
      <xdr:rowOff>0</xdr:rowOff>
    </xdr:from>
    <xdr:to>
      <xdr:col>20</xdr:col>
      <xdr:colOff>68035</xdr:colOff>
      <xdr:row>104</xdr:row>
      <xdr:rowOff>204106</xdr:rowOff>
    </xdr:to>
    <xdr:graphicFrame macro="">
      <xdr:nvGraphicFramePr>
        <xdr:cNvPr id="54" name="차트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312967</xdr:colOff>
      <xdr:row>89</xdr:row>
      <xdr:rowOff>13604</xdr:rowOff>
    </xdr:from>
    <xdr:to>
      <xdr:col>21</xdr:col>
      <xdr:colOff>530680</xdr:colOff>
      <xdr:row>91</xdr:row>
      <xdr:rowOff>84041</xdr:rowOff>
    </xdr:to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9009181" y="20397104"/>
          <a:ext cx="2285999" cy="47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421824</xdr:colOff>
      <xdr:row>93</xdr:row>
      <xdr:rowOff>129880</xdr:rowOff>
    </xdr:from>
    <xdr:to>
      <xdr:col>21</xdr:col>
      <xdr:colOff>368263</xdr:colOff>
      <xdr:row>96</xdr:row>
      <xdr:rowOff>16005</xdr:rowOff>
    </xdr:to>
    <xdr:sp macro="" textlink="">
      <xdr:nvSpPr>
        <xdr:cNvPr id="56" name="TextBox 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9118038" y="21329809"/>
          <a:ext cx="2014725" cy="4984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19</xdr:col>
      <xdr:colOff>435432</xdr:colOff>
      <xdr:row>97</xdr:row>
      <xdr:rowOff>50856</xdr:rowOff>
    </xdr:from>
    <xdr:to>
      <xdr:col>21</xdr:col>
      <xdr:colOff>476253</xdr:colOff>
      <xdr:row>99</xdr:row>
      <xdr:rowOff>70436</xdr:rowOff>
    </xdr:to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9131646" y="22067213"/>
          <a:ext cx="2109107" cy="427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19</xdr:col>
      <xdr:colOff>340181</xdr:colOff>
      <xdr:row>125</xdr:row>
      <xdr:rowOff>149678</xdr:rowOff>
    </xdr:from>
    <xdr:to>
      <xdr:col>21</xdr:col>
      <xdr:colOff>557894</xdr:colOff>
      <xdr:row>128</xdr:row>
      <xdr:rowOff>16007</xdr:rowOff>
    </xdr:to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9036395" y="28452535"/>
          <a:ext cx="2285999" cy="47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517075</xdr:colOff>
      <xdr:row>129</xdr:row>
      <xdr:rowOff>157100</xdr:rowOff>
    </xdr:from>
    <xdr:to>
      <xdr:col>21</xdr:col>
      <xdr:colOff>463514</xdr:colOff>
      <xdr:row>132</xdr:row>
      <xdr:rowOff>43224</xdr:rowOff>
    </xdr:to>
    <xdr:sp macro="" textlink="">
      <xdr:nvSpPr>
        <xdr:cNvPr id="59" name="TextBox 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9213289" y="29276386"/>
          <a:ext cx="2014725" cy="498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19</xdr:col>
      <xdr:colOff>453224</xdr:colOff>
      <xdr:row>132</xdr:row>
      <xdr:rowOff>180649</xdr:rowOff>
    </xdr:from>
    <xdr:to>
      <xdr:col>21</xdr:col>
      <xdr:colOff>494045</xdr:colOff>
      <xdr:row>134</xdr:row>
      <xdr:rowOff>200228</xdr:rowOff>
    </xdr:to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9149438" y="29912256"/>
          <a:ext cx="2109107" cy="427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2</xdr:col>
      <xdr:colOff>666737</xdr:colOff>
      <xdr:row>264</xdr:row>
      <xdr:rowOff>0</xdr:rowOff>
    </xdr:from>
    <xdr:to>
      <xdr:col>32</xdr:col>
      <xdr:colOff>108857</xdr:colOff>
      <xdr:row>283</xdr:row>
      <xdr:rowOff>204105</xdr:rowOff>
    </xdr:to>
    <xdr:graphicFrame macro="">
      <xdr:nvGraphicFramePr>
        <xdr:cNvPr id="73" name="차트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680346</xdr:colOff>
      <xdr:row>229</xdr:row>
      <xdr:rowOff>27215</xdr:rowOff>
    </xdr:from>
    <xdr:to>
      <xdr:col>32</xdr:col>
      <xdr:colOff>136072</xdr:colOff>
      <xdr:row>249</xdr:row>
      <xdr:rowOff>27214</xdr:rowOff>
    </xdr:to>
    <xdr:graphicFrame macro="">
      <xdr:nvGraphicFramePr>
        <xdr:cNvPr id="74" name="차트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671492</xdr:colOff>
      <xdr:row>236</xdr:row>
      <xdr:rowOff>192769</xdr:rowOff>
    </xdr:from>
    <xdr:to>
      <xdr:col>34</xdr:col>
      <xdr:colOff>209263</xdr:colOff>
      <xdr:row>239</xdr:row>
      <xdr:rowOff>59097</xdr:rowOff>
    </xdr:to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31777421" y="53396698"/>
          <a:ext cx="2640199" cy="47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31</xdr:col>
      <xdr:colOff>825707</xdr:colOff>
      <xdr:row>239</xdr:row>
      <xdr:rowOff>132152</xdr:rowOff>
    </xdr:from>
    <xdr:to>
      <xdr:col>34</xdr:col>
      <xdr:colOff>92204</xdr:colOff>
      <xdr:row>242</xdr:row>
      <xdr:rowOff>18277</xdr:rowOff>
    </xdr:to>
    <xdr:sp macro="" textlink="">
      <xdr:nvSpPr>
        <xdr:cNvPr id="76" name="TextBox 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31931636" y="53948402"/>
          <a:ext cx="2368925" cy="4984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31</xdr:col>
      <xdr:colOff>809832</xdr:colOff>
      <xdr:row>242</xdr:row>
      <xdr:rowOff>25913</xdr:rowOff>
    </xdr:from>
    <xdr:to>
      <xdr:col>34</xdr:col>
      <xdr:colOff>170711</xdr:colOff>
      <xdr:row>244</xdr:row>
      <xdr:rowOff>45492</xdr:rowOff>
    </xdr:to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31915761" y="54454484"/>
          <a:ext cx="2463307" cy="427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31</xdr:col>
      <xdr:colOff>395837</xdr:colOff>
      <xdr:row>268</xdr:row>
      <xdr:rowOff>129266</xdr:rowOff>
    </xdr:from>
    <xdr:to>
      <xdr:col>33</xdr:col>
      <xdr:colOff>962803</xdr:colOff>
      <xdr:row>270</xdr:row>
      <xdr:rowOff>199703</xdr:rowOff>
    </xdr:to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1501766" y="60395302"/>
          <a:ext cx="2635251" cy="47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31</xdr:col>
      <xdr:colOff>543664</xdr:colOff>
      <xdr:row>272</xdr:row>
      <xdr:rowOff>197918</xdr:rowOff>
    </xdr:from>
    <xdr:to>
      <xdr:col>33</xdr:col>
      <xdr:colOff>834407</xdr:colOff>
      <xdr:row>275</xdr:row>
      <xdr:rowOff>84043</xdr:rowOff>
    </xdr:to>
    <xdr:sp macro="" textlink="">
      <xdr:nvSpPr>
        <xdr:cNvPr id="79" name="TextBox 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31649593" y="61280382"/>
          <a:ext cx="2359028" cy="498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31</xdr:col>
      <xdr:colOff>530056</xdr:colOff>
      <xdr:row>276</xdr:row>
      <xdr:rowOff>189195</xdr:rowOff>
    </xdr:from>
    <xdr:to>
      <xdr:col>33</xdr:col>
      <xdr:colOff>915181</xdr:colOff>
      <xdr:row>279</xdr:row>
      <xdr:rowOff>4667</xdr:rowOff>
    </xdr:to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1635985" y="62088088"/>
          <a:ext cx="2453410" cy="427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2</xdr:col>
      <xdr:colOff>61227</xdr:colOff>
      <xdr:row>479</xdr:row>
      <xdr:rowOff>0</xdr:rowOff>
    </xdr:from>
    <xdr:to>
      <xdr:col>19</xdr:col>
      <xdr:colOff>1034142</xdr:colOff>
      <xdr:row>507</xdr:row>
      <xdr:rowOff>1</xdr:rowOff>
    </xdr:to>
    <xdr:graphicFrame macro="">
      <xdr:nvGraphicFramePr>
        <xdr:cNvPr id="61" name="차트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122466</xdr:colOff>
      <xdr:row>499</xdr:row>
      <xdr:rowOff>109364</xdr:rowOff>
    </xdr:from>
    <xdr:to>
      <xdr:col>20</xdr:col>
      <xdr:colOff>1020540</xdr:colOff>
      <xdr:row>501</xdr:row>
      <xdr:rowOff>136071</xdr:rowOff>
    </xdr:to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18818680" y="113837864"/>
          <a:ext cx="1932217" cy="4349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19</xdr:col>
      <xdr:colOff>27218</xdr:colOff>
      <xdr:row>487</xdr:row>
      <xdr:rowOff>54430</xdr:rowOff>
    </xdr:from>
    <xdr:to>
      <xdr:col>21</xdr:col>
      <xdr:colOff>32722</xdr:colOff>
      <xdr:row>489</xdr:row>
      <xdr:rowOff>76437</xdr:rowOff>
    </xdr:to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8723432" y="111333644"/>
          <a:ext cx="2073790" cy="430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13609</xdr:colOff>
      <xdr:row>493</xdr:row>
      <xdr:rowOff>39726</xdr:rowOff>
    </xdr:from>
    <xdr:to>
      <xdr:col>20</xdr:col>
      <xdr:colOff>983722</xdr:colOff>
      <xdr:row>495</xdr:row>
      <xdr:rowOff>95249</xdr:rowOff>
    </xdr:to>
    <xdr:sp macro="" textlink="">
      <xdr:nvSpPr>
        <xdr:cNvPr id="64" name="TextBox 6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8709823" y="112543583"/>
          <a:ext cx="2004256" cy="463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449029</xdr:colOff>
      <xdr:row>432</xdr:row>
      <xdr:rowOff>0</xdr:rowOff>
    </xdr:from>
    <xdr:to>
      <xdr:col>19</xdr:col>
      <xdr:colOff>1034142</xdr:colOff>
      <xdr:row>458</xdr:row>
      <xdr:rowOff>95251</xdr:rowOff>
    </xdr:to>
    <xdr:graphicFrame macro="">
      <xdr:nvGraphicFramePr>
        <xdr:cNvPr id="65" name="차트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149685</xdr:colOff>
      <xdr:row>451</xdr:row>
      <xdr:rowOff>10402</xdr:rowOff>
    </xdr:from>
    <xdr:to>
      <xdr:col>21</xdr:col>
      <xdr:colOff>13615</xdr:colOff>
      <xdr:row>453</xdr:row>
      <xdr:rowOff>37108</xdr:rowOff>
    </xdr:to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8845899" y="102744331"/>
          <a:ext cx="1932216" cy="434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19</xdr:col>
      <xdr:colOff>81651</xdr:colOff>
      <xdr:row>439</xdr:row>
      <xdr:rowOff>105145</xdr:rowOff>
    </xdr:from>
    <xdr:to>
      <xdr:col>21</xdr:col>
      <xdr:colOff>87154</xdr:colOff>
      <xdr:row>441</xdr:row>
      <xdr:rowOff>127152</xdr:rowOff>
    </xdr:to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8777865" y="100389788"/>
          <a:ext cx="2073789" cy="430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95256</xdr:colOff>
      <xdr:row>444</xdr:row>
      <xdr:rowOff>144871</xdr:rowOff>
    </xdr:from>
    <xdr:to>
      <xdr:col>21</xdr:col>
      <xdr:colOff>31225</xdr:colOff>
      <xdr:row>446</xdr:row>
      <xdr:rowOff>200394</xdr:rowOff>
    </xdr:to>
    <xdr:sp macro="" textlink="">
      <xdr:nvSpPr>
        <xdr:cNvPr id="69" name="TextBox 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8791470" y="101450050"/>
          <a:ext cx="2004255" cy="463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727360</xdr:colOff>
      <xdr:row>384</xdr:row>
      <xdr:rowOff>155864</xdr:rowOff>
    </xdr:from>
    <xdr:to>
      <xdr:col>19</xdr:col>
      <xdr:colOff>1034142</xdr:colOff>
      <xdr:row>408</xdr:row>
      <xdr:rowOff>45113</xdr:rowOff>
    </xdr:to>
    <xdr:graphicFrame macro="">
      <xdr:nvGraphicFramePr>
        <xdr:cNvPr id="81" name="차트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435426</xdr:colOff>
      <xdr:row>52</xdr:row>
      <xdr:rowOff>40822</xdr:rowOff>
    </xdr:from>
    <xdr:to>
      <xdr:col>21</xdr:col>
      <xdr:colOff>653139</xdr:colOff>
      <xdr:row>54</xdr:row>
      <xdr:rowOff>111259</xdr:rowOff>
    </xdr:to>
    <xdr:sp macro="" textlink="">
      <xdr:nvSpPr>
        <xdr:cNvPr id="70" name="TextBox 8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9131640" y="12015108"/>
          <a:ext cx="2285999" cy="47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571497</xdr:colOff>
      <xdr:row>55</xdr:row>
      <xdr:rowOff>184314</xdr:rowOff>
    </xdr:from>
    <xdr:to>
      <xdr:col>21</xdr:col>
      <xdr:colOff>517936</xdr:colOff>
      <xdr:row>58</xdr:row>
      <xdr:rowOff>70438</xdr:rowOff>
    </xdr:to>
    <xdr:sp macro="" textlink="">
      <xdr:nvSpPr>
        <xdr:cNvPr id="71" name="TextBox 6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9267711" y="12770921"/>
          <a:ext cx="2014725" cy="4984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19</xdr:col>
      <xdr:colOff>98961</xdr:colOff>
      <xdr:row>392</xdr:row>
      <xdr:rowOff>92775</xdr:rowOff>
    </xdr:from>
    <xdr:to>
      <xdr:col>21</xdr:col>
      <xdr:colOff>453303</xdr:colOff>
      <xdr:row>394</xdr:row>
      <xdr:rowOff>114781</xdr:rowOff>
    </xdr:to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8795175" y="89777454"/>
          <a:ext cx="2422628" cy="430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19</xdr:col>
      <xdr:colOff>150621</xdr:colOff>
      <xdr:row>396</xdr:row>
      <xdr:rowOff>0</xdr:rowOff>
    </xdr:from>
    <xdr:to>
      <xdr:col>21</xdr:col>
      <xdr:colOff>435429</xdr:colOff>
      <xdr:row>398</xdr:row>
      <xdr:rowOff>55524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8846835" y="90501107"/>
          <a:ext cx="2353094" cy="463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19</xdr:col>
      <xdr:colOff>166996</xdr:colOff>
      <xdr:row>400</xdr:row>
      <xdr:rowOff>69777</xdr:rowOff>
    </xdr:from>
    <xdr:to>
      <xdr:col>21</xdr:col>
      <xdr:colOff>379765</xdr:colOff>
      <xdr:row>402</xdr:row>
      <xdr:rowOff>117512</xdr:rowOff>
    </xdr:to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8863210" y="91387313"/>
          <a:ext cx="2281055" cy="455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고지가</a:t>
          </a:r>
        </a:p>
      </xdr:txBody>
    </xdr:sp>
    <xdr:clientData/>
  </xdr:twoCellAnchor>
  <xdr:twoCellAnchor>
    <xdr:from>
      <xdr:col>19</xdr:col>
      <xdr:colOff>5</xdr:colOff>
      <xdr:row>535</xdr:row>
      <xdr:rowOff>40823</xdr:rowOff>
    </xdr:from>
    <xdr:to>
      <xdr:col>21</xdr:col>
      <xdr:colOff>5508</xdr:colOff>
      <xdr:row>537</xdr:row>
      <xdr:rowOff>62830</xdr:rowOff>
    </xdr:to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18696219" y="122137716"/>
          <a:ext cx="2073789" cy="430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31</xdr:col>
      <xdr:colOff>293171</xdr:colOff>
      <xdr:row>165</xdr:row>
      <xdr:rowOff>116273</xdr:rowOff>
    </xdr:from>
    <xdr:to>
      <xdr:col>33</xdr:col>
      <xdr:colOff>588450</xdr:colOff>
      <xdr:row>168</xdr:row>
      <xdr:rowOff>2399</xdr:rowOff>
    </xdr:to>
    <xdr:sp macro="" textlink="">
      <xdr:nvSpPr>
        <xdr:cNvPr id="83" name="TextBox 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31399100" y="37440666"/>
          <a:ext cx="2363564" cy="498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31</xdr:col>
      <xdr:colOff>211528</xdr:colOff>
      <xdr:row>168</xdr:row>
      <xdr:rowOff>173321</xdr:rowOff>
    </xdr:from>
    <xdr:to>
      <xdr:col>33</xdr:col>
      <xdr:colOff>601189</xdr:colOff>
      <xdr:row>170</xdr:row>
      <xdr:rowOff>192901</xdr:rowOff>
    </xdr:to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31317457" y="38110035"/>
          <a:ext cx="2457946" cy="427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470648</xdr:colOff>
      <xdr:row>14</xdr:row>
      <xdr:rowOff>89647</xdr:rowOff>
    </xdr:from>
    <xdr:to>
      <xdr:col>15</xdr:col>
      <xdr:colOff>299357</xdr:colOff>
      <xdr:row>36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974912</xdr:colOff>
      <xdr:row>16</xdr:row>
      <xdr:rowOff>100855</xdr:rowOff>
    </xdr:from>
    <xdr:to>
      <xdr:col>16</xdr:col>
      <xdr:colOff>984273</xdr:colOff>
      <xdr:row>17</xdr:row>
      <xdr:rowOff>212508</xdr:rowOff>
    </xdr:to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4926236" y="4314267"/>
          <a:ext cx="3572831" cy="324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14</xdr:col>
      <xdr:colOff>1143001</xdr:colOff>
      <xdr:row>22</xdr:row>
      <xdr:rowOff>168090</xdr:rowOff>
    </xdr:from>
    <xdr:to>
      <xdr:col>15</xdr:col>
      <xdr:colOff>705970</xdr:colOff>
      <xdr:row>24</xdr:row>
      <xdr:rowOff>66829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6282148" y="5658972"/>
          <a:ext cx="750793" cy="324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13</xdr:col>
      <xdr:colOff>918882</xdr:colOff>
      <xdr:row>27</xdr:row>
      <xdr:rowOff>212911</xdr:rowOff>
    </xdr:from>
    <xdr:to>
      <xdr:col>16</xdr:col>
      <xdr:colOff>928243</xdr:colOff>
      <xdr:row>29</xdr:row>
      <xdr:rowOff>111652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4870206" y="6768352"/>
          <a:ext cx="3572831" cy="324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고지가</a:t>
          </a:r>
          <a:endParaRPr lang="en-US" altLang="ko-KR" sz="1800" b="1">
            <a:solidFill>
              <a:srgbClr val="C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endParaRPr lang="ko-KR" altLang="en-US" sz="1800" b="1">
            <a:solidFill>
              <a:srgbClr val="C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341779</xdr:colOff>
      <xdr:row>15</xdr:row>
      <xdr:rowOff>85166</xdr:rowOff>
    </xdr:from>
    <xdr:to>
      <xdr:col>12</xdr:col>
      <xdr:colOff>1030941</xdr:colOff>
      <xdr:row>34</xdr:row>
      <xdr:rowOff>179294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661146</xdr:colOff>
      <xdr:row>18</xdr:row>
      <xdr:rowOff>44823</xdr:rowOff>
    </xdr:from>
    <xdr:to>
      <xdr:col>13</xdr:col>
      <xdr:colOff>446388</xdr:colOff>
      <xdr:row>19</xdr:row>
      <xdr:rowOff>156476</xdr:rowOff>
    </xdr:to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3402234" y="4650441"/>
          <a:ext cx="973066" cy="324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12</xdr:col>
      <xdr:colOff>605119</xdr:colOff>
      <xdr:row>21</xdr:row>
      <xdr:rowOff>100853</xdr:rowOff>
    </xdr:from>
    <xdr:to>
      <xdr:col>13</xdr:col>
      <xdr:colOff>142685</xdr:colOff>
      <xdr:row>22</xdr:row>
      <xdr:rowOff>212505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346207" y="5345206"/>
          <a:ext cx="725390" cy="324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12</xdr:col>
      <xdr:colOff>571497</xdr:colOff>
      <xdr:row>27</xdr:row>
      <xdr:rowOff>78441</xdr:rowOff>
    </xdr:from>
    <xdr:to>
      <xdr:col>13</xdr:col>
      <xdr:colOff>356739</xdr:colOff>
      <xdr:row>28</xdr:row>
      <xdr:rowOff>190094</xdr:rowOff>
    </xdr:to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312585" y="6600265"/>
          <a:ext cx="973066" cy="324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341779</xdr:colOff>
      <xdr:row>14</xdr:row>
      <xdr:rowOff>85166</xdr:rowOff>
    </xdr:from>
    <xdr:to>
      <xdr:col>12</xdr:col>
      <xdr:colOff>1030941</xdr:colOff>
      <xdr:row>33</xdr:row>
      <xdr:rowOff>179294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661146</xdr:colOff>
      <xdr:row>17</xdr:row>
      <xdr:rowOff>44823</xdr:rowOff>
    </xdr:from>
    <xdr:to>
      <xdr:col>13</xdr:col>
      <xdr:colOff>446388</xdr:colOff>
      <xdr:row>18</xdr:row>
      <xdr:rowOff>156476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3434171" y="4635873"/>
          <a:ext cx="975867" cy="321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12</xdr:col>
      <xdr:colOff>605119</xdr:colOff>
      <xdr:row>20</xdr:row>
      <xdr:rowOff>100853</xdr:rowOff>
    </xdr:from>
    <xdr:to>
      <xdr:col>13</xdr:col>
      <xdr:colOff>142685</xdr:colOff>
      <xdr:row>21</xdr:row>
      <xdr:rowOff>212505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3378144" y="5320553"/>
          <a:ext cx="728191" cy="321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12</xdr:col>
      <xdr:colOff>571497</xdr:colOff>
      <xdr:row>26</xdr:row>
      <xdr:rowOff>78441</xdr:rowOff>
    </xdr:from>
    <xdr:to>
      <xdr:col>13</xdr:col>
      <xdr:colOff>356739</xdr:colOff>
      <xdr:row>27</xdr:row>
      <xdr:rowOff>190094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3344522" y="6555441"/>
          <a:ext cx="975867" cy="321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51</xdr:row>
      <xdr:rowOff>0</xdr:rowOff>
    </xdr:from>
    <xdr:to>
      <xdr:col>11</xdr:col>
      <xdr:colOff>1190624</xdr:colOff>
      <xdr:row>71</xdr:row>
      <xdr:rowOff>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-1</xdr:colOff>
      <xdr:row>15</xdr:row>
      <xdr:rowOff>0</xdr:rowOff>
    </xdr:from>
    <xdr:to>
      <xdr:col>11</xdr:col>
      <xdr:colOff>1190624</xdr:colOff>
      <xdr:row>35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946896</xdr:colOff>
      <xdr:row>19</xdr:row>
      <xdr:rowOff>175792</xdr:rowOff>
    </xdr:from>
    <xdr:to>
      <xdr:col>12</xdr:col>
      <xdr:colOff>732138</xdr:colOff>
      <xdr:row>21</xdr:row>
      <xdr:rowOff>73132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2531677" y="5045448"/>
          <a:ext cx="975867" cy="325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11</xdr:col>
      <xdr:colOff>890869</xdr:colOff>
      <xdr:row>23</xdr:row>
      <xdr:rowOff>17509</xdr:rowOff>
    </xdr:from>
    <xdr:to>
      <xdr:col>12</xdr:col>
      <xdr:colOff>428435</xdr:colOff>
      <xdr:row>24</xdr:row>
      <xdr:rowOff>129161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2475650" y="5744415"/>
          <a:ext cx="728191" cy="325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11</xdr:col>
      <xdr:colOff>857247</xdr:colOff>
      <xdr:row>28</xdr:row>
      <xdr:rowOff>209409</xdr:rowOff>
    </xdr:from>
    <xdr:to>
      <xdr:col>12</xdr:col>
      <xdr:colOff>642489</xdr:colOff>
      <xdr:row>30</xdr:row>
      <xdr:rowOff>106750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2442028" y="7007878"/>
          <a:ext cx="975867" cy="325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  <xdr:twoCellAnchor>
    <xdr:from>
      <xdr:col>11</xdr:col>
      <xdr:colOff>1113584</xdr:colOff>
      <xdr:row>56</xdr:row>
      <xdr:rowOff>56729</xdr:rowOff>
    </xdr:from>
    <xdr:to>
      <xdr:col>12</xdr:col>
      <xdr:colOff>898826</xdr:colOff>
      <xdr:row>57</xdr:row>
      <xdr:rowOff>168382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2698365" y="13856073"/>
          <a:ext cx="975867" cy="325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0070C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판매가</a:t>
          </a:r>
        </a:p>
      </xdr:txBody>
    </xdr:sp>
    <xdr:clientData/>
  </xdr:twoCellAnchor>
  <xdr:twoCellAnchor>
    <xdr:from>
      <xdr:col>11</xdr:col>
      <xdr:colOff>1057557</xdr:colOff>
      <xdr:row>59</xdr:row>
      <xdr:rowOff>112759</xdr:rowOff>
    </xdr:from>
    <xdr:to>
      <xdr:col>12</xdr:col>
      <xdr:colOff>595123</xdr:colOff>
      <xdr:row>61</xdr:row>
      <xdr:rowOff>10099</xdr:rowOff>
    </xdr:to>
    <xdr:sp macro="" textlink="">
      <xdr:nvSpPr>
        <xdr:cNvPr id="9" name="TextBox 6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2642338" y="14555040"/>
          <a:ext cx="728191" cy="325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800" b="1">
              <a:solidFill>
                <a:srgbClr val="9BBB59">
                  <a:lumMod val="75000"/>
                </a:srgb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Gap</a:t>
          </a:r>
          <a:endParaRPr lang="ko-KR" altLang="en-US" sz="1800" b="1">
            <a:solidFill>
              <a:srgbClr val="9BBB59">
                <a:lumMod val="75000"/>
              </a:srgbClr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11</xdr:col>
      <xdr:colOff>1023935</xdr:colOff>
      <xdr:row>65</xdr:row>
      <xdr:rowOff>90347</xdr:rowOff>
    </xdr:from>
    <xdr:to>
      <xdr:col>12</xdr:col>
      <xdr:colOff>809177</xdr:colOff>
      <xdr:row>66</xdr:row>
      <xdr:rowOff>202000</xdr:rowOff>
    </xdr:to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12608716" y="15818503"/>
          <a:ext cx="975867" cy="325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ctr" rtl="0" fontAlgn="base" latinLnBrk="1">
            <a:lnSpc>
              <a:spcPct val="80000"/>
            </a:lnSpc>
            <a:spcBef>
              <a:spcPct val="20000"/>
            </a:spcBef>
            <a:spcAft>
              <a:spcPct val="0"/>
            </a:spcAft>
            <a:buFont typeface="Wingdings" pitchFamily="2" charset="2"/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14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800" b="1">
              <a:solidFill>
                <a:srgbClr val="C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펄프가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24.1\scm&#54016;\Users\Hansol\Desktop\&#54148;&#54532;&#44032;%20&#48372;&#44256;_&#54056;&#53412;&#51669;_21&#45380;10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21년 실적 bw"/>
      <sheetName val="data(변동 data)"/>
      <sheetName val="2017.01~2020.05 raw"/>
      <sheetName val="2021년 월별 update"/>
      <sheetName val="전체 값"/>
      <sheetName val="그래프"/>
      <sheetName val="구분자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 t="str">
            <v>17년</v>
          </cell>
          <cell r="E3" t="str">
            <v>18년</v>
          </cell>
          <cell r="F3" t="str">
            <v>19년</v>
          </cell>
          <cell r="G3" t="str">
            <v>20년</v>
          </cell>
          <cell r="H3" t="str">
            <v>21년 경영</v>
          </cell>
          <cell r="I3" t="str">
            <v>1월</v>
          </cell>
          <cell r="J3" t="str">
            <v>2월</v>
          </cell>
          <cell r="K3" t="str">
            <v>3월</v>
          </cell>
          <cell r="L3" t="str">
            <v>4월</v>
          </cell>
          <cell r="M3" t="str">
            <v>5월</v>
          </cell>
          <cell r="N3" t="str">
            <v>6월</v>
          </cell>
          <cell r="O3" t="str">
            <v>7월</v>
          </cell>
          <cell r="U3" t="str">
            <v>패키징 수출</v>
          </cell>
          <cell r="V3" t="str">
            <v>17년</v>
          </cell>
          <cell r="W3" t="str">
            <v>18년</v>
          </cell>
          <cell r="X3" t="str">
            <v>19년</v>
          </cell>
          <cell r="Y3" t="str">
            <v>20년</v>
          </cell>
          <cell r="Z3" t="str">
            <v>21년 경영</v>
          </cell>
          <cell r="AA3" t="str">
            <v>1월</v>
          </cell>
          <cell r="AB3" t="str">
            <v>2월</v>
          </cell>
          <cell r="AC3" t="str">
            <v>3월</v>
          </cell>
          <cell r="AD3" t="str">
            <v>4월</v>
          </cell>
          <cell r="AE3" t="str">
            <v>5월</v>
          </cell>
        </row>
        <row r="4">
          <cell r="C4" t="str">
            <v>펄프가</v>
          </cell>
          <cell r="D4">
            <v>531</v>
          </cell>
          <cell r="E4">
            <v>634</v>
          </cell>
          <cell r="F4">
            <v>619</v>
          </cell>
          <cell r="G4">
            <v>527</v>
          </cell>
          <cell r="H4">
            <v>479</v>
          </cell>
          <cell r="I4">
            <v>483</v>
          </cell>
          <cell r="J4">
            <v>477</v>
          </cell>
          <cell r="K4">
            <v>473</v>
          </cell>
          <cell r="L4">
            <v>489</v>
          </cell>
          <cell r="M4">
            <v>513</v>
          </cell>
          <cell r="N4">
            <v>542</v>
          </cell>
          <cell r="O4">
            <v>604</v>
          </cell>
          <cell r="S4">
            <v>679.36421370010021</v>
          </cell>
          <cell r="T4">
            <v>0</v>
          </cell>
          <cell r="U4" t="str">
            <v>펄프가</v>
          </cell>
          <cell r="V4">
            <v>519</v>
          </cell>
          <cell r="W4">
            <v>623</v>
          </cell>
          <cell r="X4">
            <v>664</v>
          </cell>
          <cell r="Y4">
            <v>561</v>
          </cell>
          <cell r="Z4">
            <v>476</v>
          </cell>
          <cell r="AA4">
            <v>497</v>
          </cell>
          <cell r="AB4">
            <v>479</v>
          </cell>
          <cell r="AC4">
            <v>486</v>
          </cell>
          <cell r="AD4">
            <v>497</v>
          </cell>
          <cell r="AE4">
            <v>522</v>
          </cell>
        </row>
        <row r="5">
          <cell r="C5" t="str">
            <v>Gap</v>
          </cell>
          <cell r="D5">
            <v>1491</v>
          </cell>
          <cell r="E5">
            <v>1501</v>
          </cell>
          <cell r="F5">
            <v>1395</v>
          </cell>
          <cell r="G5">
            <v>1420</v>
          </cell>
          <cell r="H5">
            <v>1581</v>
          </cell>
          <cell r="I5">
            <v>1475</v>
          </cell>
          <cell r="J5">
            <v>1446</v>
          </cell>
          <cell r="K5">
            <v>1409</v>
          </cell>
          <cell r="L5">
            <v>1461</v>
          </cell>
          <cell r="M5">
            <v>1583</v>
          </cell>
          <cell r="N5">
            <v>1518</v>
          </cell>
          <cell r="O5">
            <v>1446</v>
          </cell>
          <cell r="S5">
            <v>1321.4917146230523</v>
          </cell>
          <cell r="T5">
            <v>0</v>
          </cell>
          <cell r="U5" t="str">
            <v>Gap</v>
          </cell>
          <cell r="V5">
            <v>1096</v>
          </cell>
          <cell r="W5">
            <v>1156</v>
          </cell>
          <cell r="X5">
            <v>1167</v>
          </cell>
          <cell r="Y5">
            <v>1129</v>
          </cell>
          <cell r="Z5">
            <v>1329</v>
          </cell>
          <cell r="AA5">
            <v>1051</v>
          </cell>
          <cell r="AB5">
            <v>979</v>
          </cell>
          <cell r="AC5">
            <v>1081</v>
          </cell>
          <cell r="AD5">
            <v>1050</v>
          </cell>
          <cell r="AE5">
            <v>1109</v>
          </cell>
        </row>
        <row r="6">
          <cell r="C6" t="str">
            <v>판매가</v>
          </cell>
          <cell r="D6">
            <v>2022</v>
          </cell>
          <cell r="E6">
            <v>2136</v>
          </cell>
          <cell r="F6">
            <v>2013</v>
          </cell>
          <cell r="G6">
            <v>1948</v>
          </cell>
          <cell r="H6">
            <v>2060</v>
          </cell>
          <cell r="I6">
            <v>1958</v>
          </cell>
          <cell r="J6">
            <v>1923</v>
          </cell>
          <cell r="K6">
            <v>1881</v>
          </cell>
          <cell r="L6">
            <v>1950</v>
          </cell>
          <cell r="M6">
            <v>2095</v>
          </cell>
          <cell r="N6">
            <v>2060</v>
          </cell>
          <cell r="O6">
            <v>2050</v>
          </cell>
          <cell r="S6">
            <v>2000.8559283231525</v>
          </cell>
          <cell r="T6">
            <v>0</v>
          </cell>
          <cell r="U6" t="str">
            <v>판매가</v>
          </cell>
          <cell r="V6">
            <v>1615</v>
          </cell>
          <cell r="W6">
            <v>1779</v>
          </cell>
          <cell r="X6">
            <v>1831</v>
          </cell>
          <cell r="Y6">
            <v>1691</v>
          </cell>
          <cell r="Z6">
            <v>1805</v>
          </cell>
          <cell r="AA6">
            <v>1548</v>
          </cell>
          <cell r="AB6">
            <v>1459</v>
          </cell>
          <cell r="AC6">
            <v>1568</v>
          </cell>
          <cell r="AD6">
            <v>1547</v>
          </cell>
          <cell r="AE6">
            <v>1631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571"/>
  <sheetViews>
    <sheetView showGridLines="0" tabSelected="1" zoomScale="70" zoomScaleNormal="70" workbookViewId="0"/>
  </sheetViews>
  <sheetFormatPr defaultColWidth="9" defaultRowHeight="16.5"/>
  <cols>
    <col min="1" max="1" width="9" style="19"/>
    <col min="2" max="2" width="10.25" style="19" customWidth="1"/>
    <col min="3" max="3" width="9.125" style="19" customWidth="1"/>
    <col min="4" max="40" width="13.625" style="19" customWidth="1"/>
    <col min="41" max="16384" width="9" style="19"/>
  </cols>
  <sheetData>
    <row r="2" spans="2:20" ht="41.25">
      <c r="B2" s="29" t="s">
        <v>135</v>
      </c>
    </row>
    <row r="4" spans="2:20" ht="20.25">
      <c r="B4" s="20" t="s">
        <v>56</v>
      </c>
    </row>
    <row r="5" spans="2:20" ht="20.25">
      <c r="B5" s="20" t="s">
        <v>472</v>
      </c>
    </row>
    <row r="7" spans="2:20" ht="17.25" customHeight="1">
      <c r="B7" s="135" t="s">
        <v>139</v>
      </c>
      <c r="C7" s="135"/>
      <c r="D7" s="140" t="s">
        <v>140</v>
      </c>
      <c r="E7" s="141"/>
      <c r="F7" s="141"/>
      <c r="G7" s="141"/>
      <c r="H7" s="141"/>
      <c r="I7" s="141"/>
      <c r="J7" s="141"/>
      <c r="K7" s="141"/>
      <c r="L7" s="141"/>
      <c r="M7" s="142"/>
      <c r="N7" s="140" t="s">
        <v>348</v>
      </c>
      <c r="O7" s="141"/>
      <c r="P7" s="141"/>
      <c r="Q7" s="141"/>
      <c r="R7" s="141"/>
      <c r="S7" s="141"/>
      <c r="T7" s="142"/>
    </row>
    <row r="8" spans="2:20" ht="13.9" customHeight="1">
      <c r="B8" s="135"/>
      <c r="C8" s="135"/>
      <c r="D8" s="136" t="s">
        <v>158</v>
      </c>
      <c r="E8" s="136" t="s">
        <v>109</v>
      </c>
      <c r="F8" s="136" t="s">
        <v>141</v>
      </c>
      <c r="G8" s="135" t="s">
        <v>159</v>
      </c>
      <c r="H8" s="143" t="s">
        <v>160</v>
      </c>
      <c r="I8" s="143" t="s">
        <v>156</v>
      </c>
      <c r="J8" s="143" t="s">
        <v>154</v>
      </c>
      <c r="K8" s="143" t="s">
        <v>241</v>
      </c>
      <c r="L8" s="143" t="s">
        <v>346</v>
      </c>
      <c r="M8" s="143" t="s">
        <v>347</v>
      </c>
      <c r="N8" s="139" t="s">
        <v>349</v>
      </c>
      <c r="O8" s="139" t="s">
        <v>404</v>
      </c>
      <c r="P8" s="139" t="s">
        <v>420</v>
      </c>
      <c r="Q8" s="139" t="s">
        <v>16</v>
      </c>
      <c r="R8" s="139" t="s">
        <v>444</v>
      </c>
      <c r="S8" s="139" t="s">
        <v>459</v>
      </c>
      <c r="T8" s="139" t="s">
        <v>131</v>
      </c>
    </row>
    <row r="9" spans="2:20" ht="16.5" customHeight="1">
      <c r="B9" s="135"/>
      <c r="C9" s="135"/>
      <c r="D9" s="136"/>
      <c r="E9" s="136"/>
      <c r="F9" s="136"/>
      <c r="G9" s="136"/>
      <c r="H9" s="144"/>
      <c r="I9" s="144"/>
      <c r="J9" s="144"/>
      <c r="K9" s="144"/>
      <c r="L9" s="138"/>
      <c r="M9" s="138"/>
      <c r="N9" s="138"/>
      <c r="O9" s="138"/>
      <c r="P9" s="138"/>
      <c r="Q9" s="138"/>
      <c r="R9" s="138"/>
      <c r="S9" s="138"/>
      <c r="T9" s="138"/>
    </row>
    <row r="10" spans="2:20" ht="26.25" customHeight="1">
      <c r="B10" s="148" t="s">
        <v>142</v>
      </c>
      <c r="C10" s="148"/>
      <c r="D10" s="65">
        <v>570</v>
      </c>
      <c r="E10" s="65">
        <v>518</v>
      </c>
      <c r="F10" s="65">
        <v>504</v>
      </c>
      <c r="G10" s="15">
        <v>524</v>
      </c>
      <c r="H10" s="15">
        <v>566</v>
      </c>
      <c r="I10" s="15">
        <v>633</v>
      </c>
      <c r="J10" s="15">
        <v>659</v>
      </c>
      <c r="K10" s="15">
        <v>709.87176922718379</v>
      </c>
      <c r="L10" s="15">
        <v>682</v>
      </c>
      <c r="M10" s="15">
        <v>811.96779329386277</v>
      </c>
      <c r="N10" s="15">
        <v>660.37168295636866</v>
      </c>
      <c r="O10" s="15">
        <v>627.22470822256196</v>
      </c>
      <c r="P10" s="15">
        <v>631.27028933568477</v>
      </c>
      <c r="Q10" s="15">
        <v>623.44807556226215</v>
      </c>
      <c r="R10" s="15">
        <v>615.164915591816</v>
      </c>
      <c r="S10" s="15">
        <v>582.5435152967674</v>
      </c>
      <c r="T10" s="15">
        <v>560.84375607357276</v>
      </c>
    </row>
    <row r="11" spans="2:20" ht="26.25" customHeight="1">
      <c r="B11" s="148" t="s">
        <v>143</v>
      </c>
      <c r="C11" s="148"/>
      <c r="D11" s="15">
        <v>646</v>
      </c>
      <c r="E11" s="15">
        <v>658</v>
      </c>
      <c r="F11" s="15">
        <v>618</v>
      </c>
      <c r="G11" s="15">
        <v>625</v>
      </c>
      <c r="H11" s="15">
        <v>677</v>
      </c>
      <c r="I11" s="15">
        <v>782</v>
      </c>
      <c r="J11" s="15">
        <v>823</v>
      </c>
      <c r="K11" s="15">
        <v>859.41992606576162</v>
      </c>
      <c r="L11" s="15">
        <v>807</v>
      </c>
      <c r="M11" s="15">
        <v>849.815607275866</v>
      </c>
      <c r="N11" s="15">
        <v>768.31054373578991</v>
      </c>
      <c r="O11" s="15">
        <v>775.35048173095515</v>
      </c>
      <c r="P11" s="15">
        <v>767.27829941945151</v>
      </c>
      <c r="Q11" s="15">
        <v>747.46578070847977</v>
      </c>
      <c r="R11" s="15">
        <v>718.364798476244</v>
      </c>
      <c r="S11" s="15">
        <v>719.23116909140174</v>
      </c>
      <c r="T11" s="15">
        <v>702.12643636919893</v>
      </c>
    </row>
    <row r="12" spans="2:20" ht="26.25" customHeight="1">
      <c r="B12" s="135" t="s">
        <v>144</v>
      </c>
      <c r="C12" s="135"/>
      <c r="D12" s="66">
        <v>614</v>
      </c>
      <c r="E12" s="66">
        <v>598</v>
      </c>
      <c r="F12" s="66">
        <v>566</v>
      </c>
      <c r="G12" s="66">
        <v>576</v>
      </c>
      <c r="H12" s="66">
        <v>653</v>
      </c>
      <c r="I12" s="66">
        <v>753</v>
      </c>
      <c r="J12" s="66">
        <v>761</v>
      </c>
      <c r="K12" s="66">
        <v>805</v>
      </c>
      <c r="L12" s="66">
        <v>763</v>
      </c>
      <c r="M12" s="66">
        <v>877</v>
      </c>
      <c r="N12" s="66">
        <v>765</v>
      </c>
      <c r="O12" s="66">
        <v>762</v>
      </c>
      <c r="P12" s="66">
        <v>773</v>
      </c>
      <c r="Q12" s="66">
        <v>744</v>
      </c>
      <c r="R12" s="66">
        <v>738</v>
      </c>
      <c r="S12" s="66">
        <v>716</v>
      </c>
      <c r="T12" s="66">
        <v>687</v>
      </c>
    </row>
    <row r="13" spans="2:20" ht="16.5" customHeight="1"/>
    <row r="14" spans="2:20">
      <c r="J14" s="27"/>
      <c r="K14" s="27"/>
      <c r="L14" s="27"/>
      <c r="M14" s="27"/>
      <c r="N14" s="27"/>
      <c r="O14" s="27"/>
      <c r="P14" s="27"/>
    </row>
    <row r="15" spans="2:20">
      <c r="J15" s="27"/>
      <c r="K15" s="27"/>
      <c r="L15" s="27"/>
      <c r="M15" s="27"/>
      <c r="N15" s="27"/>
      <c r="O15" s="27"/>
      <c r="P15" s="27"/>
    </row>
    <row r="16" spans="2:20">
      <c r="J16" s="27"/>
      <c r="K16" s="27"/>
      <c r="L16" s="27"/>
      <c r="M16" s="27"/>
      <c r="N16" s="27"/>
      <c r="O16" s="27"/>
      <c r="P16" s="27"/>
    </row>
    <row r="17" spans="10:16">
      <c r="J17" s="27"/>
      <c r="K17" s="27"/>
      <c r="L17" s="27"/>
      <c r="M17" s="27"/>
      <c r="N17" s="27"/>
      <c r="O17" s="27"/>
      <c r="P17" s="27"/>
    </row>
    <row r="18" spans="10:16">
      <c r="J18" s="27"/>
      <c r="K18" s="27"/>
      <c r="L18" s="27"/>
      <c r="M18" s="27"/>
      <c r="N18" s="27"/>
      <c r="O18" s="27"/>
      <c r="P18" s="27"/>
    </row>
    <row r="19" spans="10:16">
      <c r="J19" s="27"/>
      <c r="K19" s="27"/>
      <c r="L19" s="27"/>
      <c r="M19" s="27"/>
      <c r="N19" s="27"/>
      <c r="O19" s="27"/>
      <c r="P19" s="27"/>
    </row>
    <row r="20" spans="10:16">
      <c r="J20" s="27"/>
      <c r="K20" s="27"/>
      <c r="L20" s="27"/>
      <c r="M20" s="27"/>
      <c r="N20" s="27"/>
      <c r="O20" s="27"/>
      <c r="P20" s="27"/>
    </row>
    <row r="21" spans="10:16">
      <c r="J21" s="27"/>
      <c r="K21" s="27"/>
      <c r="L21" s="27"/>
      <c r="M21" s="27"/>
      <c r="N21" s="27"/>
      <c r="O21" s="27"/>
      <c r="P21" s="27"/>
    </row>
    <row r="22" spans="10:16">
      <c r="J22" s="27"/>
      <c r="K22" s="27"/>
      <c r="L22" s="27"/>
      <c r="M22" s="27"/>
      <c r="N22" s="27"/>
      <c r="O22" s="27"/>
      <c r="P22" s="27"/>
    </row>
    <row r="23" spans="10:16">
      <c r="J23" s="27"/>
      <c r="K23" s="27"/>
      <c r="L23" s="27"/>
      <c r="M23" s="27"/>
      <c r="N23" s="27"/>
      <c r="O23" s="27"/>
      <c r="P23" s="27"/>
    </row>
    <row r="24" spans="10:16">
      <c r="J24" s="27"/>
      <c r="K24" s="27"/>
      <c r="L24" s="27"/>
      <c r="M24" s="27"/>
      <c r="N24" s="27"/>
      <c r="O24" s="27"/>
      <c r="P24" s="27"/>
    </row>
    <row r="25" spans="10:16">
      <c r="J25" s="27"/>
      <c r="K25" s="27"/>
      <c r="L25" s="27"/>
      <c r="M25" s="27"/>
      <c r="N25" s="27"/>
      <c r="O25" s="27"/>
      <c r="P25" s="27"/>
    </row>
    <row r="26" spans="10:16">
      <c r="J26" s="27"/>
      <c r="K26" s="27"/>
      <c r="L26" s="27"/>
      <c r="M26" s="27"/>
      <c r="N26" s="27"/>
      <c r="O26" s="27"/>
      <c r="P26" s="27"/>
    </row>
    <row r="27" spans="10:16">
      <c r="J27" s="27"/>
      <c r="K27" s="27"/>
      <c r="L27" s="27"/>
      <c r="M27" s="27"/>
      <c r="N27" s="27"/>
      <c r="O27" s="27"/>
      <c r="P27" s="27"/>
    </row>
    <row r="28" spans="10:16">
      <c r="J28" s="27"/>
      <c r="K28" s="27"/>
      <c r="L28" s="27"/>
      <c r="M28" s="27"/>
      <c r="N28" s="27"/>
      <c r="O28" s="27"/>
      <c r="P28" s="27"/>
    </row>
    <row r="29" spans="10:16">
      <c r="J29" s="27"/>
      <c r="K29" s="27"/>
      <c r="L29" s="27"/>
      <c r="M29" s="27"/>
      <c r="N29" s="27"/>
      <c r="O29" s="27"/>
      <c r="P29" s="27"/>
    </row>
    <row r="30" spans="10:16" s="69" customFormat="1">
      <c r="J30" s="27"/>
      <c r="K30" s="27"/>
      <c r="L30" s="27"/>
      <c r="M30" s="27"/>
      <c r="N30" s="27"/>
      <c r="O30" s="27"/>
      <c r="P30" s="27"/>
    </row>
    <row r="31" spans="10:16" s="69" customFormat="1">
      <c r="J31" s="73"/>
      <c r="K31" s="73"/>
      <c r="L31" s="73"/>
      <c r="M31" s="73"/>
      <c r="N31" s="73"/>
      <c r="O31" s="73"/>
      <c r="P31" s="73"/>
    </row>
    <row r="32" spans="10:16" s="69" customFormat="1">
      <c r="J32" s="73"/>
      <c r="K32" s="73"/>
      <c r="L32" s="73"/>
      <c r="M32" s="73"/>
      <c r="N32" s="73"/>
      <c r="O32" s="73"/>
      <c r="P32" s="73"/>
    </row>
    <row r="33" spans="1:24" s="69" customFormat="1">
      <c r="J33" s="78"/>
      <c r="K33" s="78"/>
      <c r="L33" s="78"/>
      <c r="M33" s="78"/>
      <c r="N33" s="78"/>
      <c r="O33" s="78"/>
      <c r="P33" s="78"/>
    </row>
    <row r="34" spans="1:24" s="64" customFormat="1">
      <c r="A34" s="21"/>
      <c r="B34" s="21"/>
      <c r="C34" s="21" t="s">
        <v>153</v>
      </c>
      <c r="D34" s="88" t="s">
        <v>92</v>
      </c>
      <c r="E34" s="88" t="s">
        <v>93</v>
      </c>
      <c r="F34" s="88" t="s">
        <v>122</v>
      </c>
      <c r="G34" s="88" t="s">
        <v>94</v>
      </c>
      <c r="H34" s="88" t="s">
        <v>91</v>
      </c>
      <c r="I34" s="88" t="s">
        <v>157</v>
      </c>
      <c r="J34" s="27" t="s">
        <v>354</v>
      </c>
      <c r="K34" s="27" t="s">
        <v>446</v>
      </c>
      <c r="L34" s="27" t="s">
        <v>447</v>
      </c>
      <c r="M34" s="27" t="s">
        <v>350</v>
      </c>
      <c r="N34" s="126" t="s">
        <v>352</v>
      </c>
      <c r="O34" s="27" t="s">
        <v>405</v>
      </c>
      <c r="P34" s="27" t="s">
        <v>421</v>
      </c>
      <c r="Q34" s="64" t="s">
        <v>432</v>
      </c>
      <c r="R34" s="64" t="s">
        <v>445</v>
      </c>
      <c r="S34" s="64" t="s">
        <v>460</v>
      </c>
      <c r="T34" s="64" t="s">
        <v>131</v>
      </c>
    </row>
    <row r="35" spans="1:24" s="27" customFormat="1">
      <c r="C35" s="27" t="s">
        <v>98</v>
      </c>
      <c r="D35" s="27">
        <v>372</v>
      </c>
      <c r="E35" s="27">
        <v>461</v>
      </c>
      <c r="F35" s="27">
        <v>430</v>
      </c>
      <c r="G35" s="27">
        <v>344</v>
      </c>
      <c r="H35" s="27">
        <v>397</v>
      </c>
      <c r="I35" s="27">
        <v>525</v>
      </c>
      <c r="J35" s="27">
        <v>588</v>
      </c>
      <c r="K35" s="27">
        <v>553.91666666666663</v>
      </c>
      <c r="L35" s="27">
        <v>529</v>
      </c>
      <c r="M35" s="27">
        <v>444</v>
      </c>
      <c r="N35" s="27">
        <v>467</v>
      </c>
      <c r="O35" s="27">
        <v>484</v>
      </c>
      <c r="P35" s="27">
        <v>473</v>
      </c>
      <c r="Q35" s="27">
        <v>510</v>
      </c>
      <c r="R35" s="27">
        <v>495</v>
      </c>
      <c r="S35" s="27">
        <v>500</v>
      </c>
      <c r="T35" s="27">
        <v>528</v>
      </c>
    </row>
    <row r="36" spans="1:24" s="27" customFormat="1">
      <c r="C36" s="27" t="s">
        <v>99</v>
      </c>
      <c r="D36" s="27">
        <v>987</v>
      </c>
      <c r="E36" s="27">
        <v>1060</v>
      </c>
      <c r="F36" s="27">
        <v>996</v>
      </c>
      <c r="G36" s="27">
        <v>919</v>
      </c>
      <c r="H36" s="27">
        <v>1050</v>
      </c>
      <c r="I36" s="27">
        <v>1279</v>
      </c>
      <c r="J36" s="27">
        <v>1350</v>
      </c>
      <c r="K36" s="27">
        <v>1359.0833333333333</v>
      </c>
      <c r="L36" s="27">
        <v>1290</v>
      </c>
      <c r="M36" s="27">
        <v>1314</v>
      </c>
      <c r="N36" s="27">
        <v>1228</v>
      </c>
      <c r="O36" s="27">
        <v>1234</v>
      </c>
      <c r="P36" s="27">
        <v>1234</v>
      </c>
      <c r="Q36" s="27">
        <v>1243</v>
      </c>
      <c r="R36" s="27">
        <v>1213</v>
      </c>
      <c r="S36" s="27">
        <v>1208</v>
      </c>
      <c r="T36" s="27">
        <v>1206</v>
      </c>
    </row>
    <row r="37" spans="1:24" s="27" customFormat="1">
      <c r="C37" s="27" t="s">
        <v>100</v>
      </c>
      <c r="D37" s="27">
        <v>614</v>
      </c>
      <c r="E37" s="27">
        <v>598</v>
      </c>
      <c r="F37" s="27">
        <v>566</v>
      </c>
      <c r="G37" s="27">
        <v>576</v>
      </c>
      <c r="H37" s="27">
        <v>653</v>
      </c>
      <c r="I37" s="27">
        <v>753</v>
      </c>
      <c r="J37" s="27">
        <v>761</v>
      </c>
      <c r="K37" s="27">
        <v>805</v>
      </c>
      <c r="L37" s="27">
        <v>763</v>
      </c>
      <c r="M37" s="27">
        <v>877</v>
      </c>
      <c r="N37" s="27">
        <v>765</v>
      </c>
      <c r="O37" s="27">
        <v>762</v>
      </c>
      <c r="P37" s="27">
        <v>773</v>
      </c>
      <c r="Q37" s="27">
        <v>744</v>
      </c>
      <c r="R37" s="27">
        <v>738</v>
      </c>
      <c r="S37" s="27">
        <v>716</v>
      </c>
      <c r="T37" s="27">
        <v>687</v>
      </c>
    </row>
    <row r="38" spans="1:24" ht="20.25">
      <c r="B38" s="20" t="s">
        <v>101</v>
      </c>
      <c r="C38" s="61"/>
      <c r="D38" s="61"/>
      <c r="E38" s="61"/>
      <c r="F38" s="61"/>
      <c r="G38" s="61"/>
      <c r="H38" s="61"/>
      <c r="I38" s="61"/>
      <c r="J38" s="27"/>
      <c r="K38" s="27"/>
      <c r="L38" s="27"/>
      <c r="M38" s="73"/>
      <c r="N38" s="73"/>
      <c r="O38" s="73"/>
      <c r="P38" s="73"/>
      <c r="Q38" s="23"/>
      <c r="R38" s="23"/>
      <c r="S38" s="23"/>
      <c r="T38" s="23"/>
      <c r="U38" s="23"/>
      <c r="V38" s="23"/>
      <c r="W38" s="23"/>
      <c r="X38" s="23"/>
    </row>
    <row r="39" spans="1:24" s="21" customFormat="1" ht="20.25">
      <c r="A39" s="19"/>
      <c r="B39" s="20" t="s">
        <v>473</v>
      </c>
      <c r="C39" s="19"/>
      <c r="D39" s="19"/>
      <c r="E39" s="19"/>
      <c r="F39" s="19"/>
      <c r="G39" s="19"/>
      <c r="H39" s="19"/>
      <c r="I39" s="19"/>
      <c r="J39" s="27"/>
      <c r="K39" s="27"/>
      <c r="L39" s="27"/>
      <c r="M39" s="27"/>
      <c r="N39" s="27"/>
      <c r="O39" s="27"/>
      <c r="P39" s="27"/>
    </row>
    <row r="40" spans="1:24" s="21" customFormat="1">
      <c r="A40" s="19"/>
      <c r="B40" s="19"/>
      <c r="C40" s="19"/>
      <c r="D40" s="19"/>
      <c r="E40" s="19"/>
      <c r="F40" s="19"/>
      <c r="G40" s="19"/>
      <c r="H40" s="19"/>
      <c r="I40" s="19"/>
      <c r="J40" s="27"/>
      <c r="K40" s="27"/>
      <c r="L40" s="27"/>
      <c r="M40" s="27"/>
      <c r="N40" s="27"/>
      <c r="O40" s="27"/>
      <c r="P40" s="27"/>
    </row>
    <row r="41" spans="1:24" s="21" customFormat="1" ht="17.25" customHeight="1">
      <c r="A41" s="19"/>
      <c r="B41" s="135" t="s">
        <v>3</v>
      </c>
      <c r="C41" s="135"/>
      <c r="D41" s="140" t="s">
        <v>25</v>
      </c>
      <c r="E41" s="141"/>
      <c r="F41" s="141"/>
      <c r="G41" s="141"/>
      <c r="H41" s="141"/>
      <c r="I41" s="141"/>
      <c r="J41" s="141"/>
      <c r="K41" s="141"/>
      <c r="L41" s="141"/>
      <c r="M41" s="142"/>
      <c r="N41" s="140" t="s">
        <v>348</v>
      </c>
      <c r="O41" s="141"/>
      <c r="P41" s="141"/>
      <c r="Q41" s="141"/>
      <c r="R41" s="141"/>
      <c r="S41" s="141"/>
      <c r="T41" s="142"/>
    </row>
    <row r="42" spans="1:24" s="21" customFormat="1" ht="16.5" customHeight="1">
      <c r="A42" s="19"/>
      <c r="B42" s="135"/>
      <c r="C42" s="135"/>
      <c r="D42" s="136" t="s">
        <v>5</v>
      </c>
      <c r="E42" s="136" t="s">
        <v>274</v>
      </c>
      <c r="F42" s="136" t="s">
        <v>7</v>
      </c>
      <c r="G42" s="135" t="s">
        <v>8</v>
      </c>
      <c r="H42" s="143" t="s">
        <v>4</v>
      </c>
      <c r="I42" s="143" t="s">
        <v>156</v>
      </c>
      <c r="J42" s="149" t="s">
        <v>275</v>
      </c>
      <c r="K42" s="149" t="s">
        <v>276</v>
      </c>
      <c r="L42" s="149" t="s">
        <v>277</v>
      </c>
      <c r="M42" s="143" t="s">
        <v>347</v>
      </c>
      <c r="N42" s="139" t="s">
        <v>349</v>
      </c>
      <c r="O42" s="139" t="s">
        <v>406</v>
      </c>
      <c r="P42" s="139" t="s">
        <v>420</v>
      </c>
      <c r="Q42" s="139" t="s">
        <v>433</v>
      </c>
      <c r="R42" s="139" t="s">
        <v>90</v>
      </c>
      <c r="S42" s="139" t="s">
        <v>130</v>
      </c>
      <c r="T42" s="139" t="s">
        <v>131</v>
      </c>
    </row>
    <row r="43" spans="1:24" s="21" customFormat="1" ht="16.5" customHeight="1">
      <c r="A43" s="19"/>
      <c r="B43" s="135"/>
      <c r="C43" s="135"/>
      <c r="D43" s="136"/>
      <c r="E43" s="136"/>
      <c r="F43" s="136"/>
      <c r="G43" s="136"/>
      <c r="H43" s="144"/>
      <c r="I43" s="144"/>
      <c r="J43" s="150"/>
      <c r="K43" s="150"/>
      <c r="L43" s="151" t="s">
        <v>278</v>
      </c>
      <c r="M43" s="138"/>
      <c r="N43" s="138"/>
      <c r="O43" s="138"/>
      <c r="P43" s="138"/>
      <c r="Q43" s="138"/>
      <c r="R43" s="138"/>
      <c r="S43" s="138"/>
      <c r="T43" s="138"/>
    </row>
    <row r="44" spans="1:24" ht="26.25">
      <c r="B44" s="148" t="s">
        <v>145</v>
      </c>
      <c r="C44" s="148"/>
      <c r="D44" s="65">
        <v>441</v>
      </c>
      <c r="E44" s="65">
        <v>469</v>
      </c>
      <c r="F44" s="65">
        <v>522</v>
      </c>
      <c r="G44" s="15">
        <v>528</v>
      </c>
      <c r="H44" s="15">
        <v>515</v>
      </c>
      <c r="I44" s="15">
        <v>563</v>
      </c>
      <c r="J44" s="15">
        <v>441</v>
      </c>
      <c r="K44" s="15">
        <v>604.41040631408043</v>
      </c>
      <c r="L44" s="15">
        <v>808</v>
      </c>
      <c r="M44" s="15">
        <v>806.89242354848614</v>
      </c>
      <c r="N44" s="15">
        <v>868.98347795854431</v>
      </c>
      <c r="O44" s="15">
        <v>1006.3383619700915</v>
      </c>
      <c r="P44" s="15">
        <v>906.36709924035506</v>
      </c>
      <c r="Q44" s="15">
        <v>892.62049680221276</v>
      </c>
      <c r="R44" s="15">
        <v>883.31532102631672</v>
      </c>
      <c r="S44" s="15">
        <v>846.45058163538931</v>
      </c>
      <c r="T44" s="15">
        <v>736.72365602311402</v>
      </c>
    </row>
    <row r="45" spans="1:24" ht="26.25">
      <c r="B45" s="148" t="s">
        <v>143</v>
      </c>
      <c r="C45" s="148"/>
      <c r="D45" s="15">
        <v>499</v>
      </c>
      <c r="E45" s="15">
        <v>534</v>
      </c>
      <c r="F45" s="15">
        <v>583</v>
      </c>
      <c r="G45" s="15">
        <v>544</v>
      </c>
      <c r="H45" s="15">
        <v>482</v>
      </c>
      <c r="I45" s="15">
        <v>720</v>
      </c>
      <c r="J45" s="15">
        <v>902</v>
      </c>
      <c r="K45" s="15">
        <v>862.07884025376688</v>
      </c>
      <c r="L45" s="15">
        <v>832</v>
      </c>
      <c r="M45" s="15">
        <v>948.51452319952705</v>
      </c>
      <c r="N45" s="15">
        <v>884.1066915481864</v>
      </c>
      <c r="O45" s="15">
        <v>920.02980763460266</v>
      </c>
      <c r="P45" s="15">
        <v>941.12385883711363</v>
      </c>
      <c r="Q45" s="15">
        <v>889.59651706644331</v>
      </c>
      <c r="R45" s="15">
        <v>894.18322227594751</v>
      </c>
      <c r="S45" s="15">
        <v>921.66983702709115</v>
      </c>
      <c r="T45" s="15">
        <v>894.00528620561818</v>
      </c>
    </row>
    <row r="46" spans="1:24" ht="26.25" customHeight="1">
      <c r="B46" s="135" t="s">
        <v>200</v>
      </c>
      <c r="C46" s="135"/>
      <c r="D46" s="66">
        <v>498</v>
      </c>
      <c r="E46" s="66">
        <v>534</v>
      </c>
      <c r="F46" s="66">
        <v>583</v>
      </c>
      <c r="G46" s="66">
        <v>544</v>
      </c>
      <c r="H46" s="66">
        <v>483</v>
      </c>
      <c r="I46" s="66">
        <v>720</v>
      </c>
      <c r="J46" s="66">
        <v>901</v>
      </c>
      <c r="K46" s="66">
        <v>861.25</v>
      </c>
      <c r="L46" s="66">
        <v>832</v>
      </c>
      <c r="M46" s="66">
        <v>946</v>
      </c>
      <c r="N46" s="66">
        <v>884.61527301569549</v>
      </c>
      <c r="O46" s="66">
        <v>926.9954287239766</v>
      </c>
      <c r="P46" s="66">
        <v>940.89154467521746</v>
      </c>
      <c r="Q46" s="66">
        <v>891.81177077181792</v>
      </c>
      <c r="R46" s="66">
        <v>897.12250152579099</v>
      </c>
      <c r="S46" s="66">
        <v>914.11944272366031</v>
      </c>
      <c r="T46" s="66">
        <v>870.37931834169615</v>
      </c>
    </row>
    <row r="64" spans="10:16" s="69" customFormat="1">
      <c r="J64" s="19"/>
      <c r="K64" s="19"/>
      <c r="L64" s="19"/>
      <c r="M64" s="19"/>
      <c r="N64" s="19"/>
      <c r="O64" s="19"/>
      <c r="P64" s="19"/>
    </row>
    <row r="65" spans="1:20" s="69" customFormat="1">
      <c r="J65" s="19"/>
      <c r="K65" s="19"/>
      <c r="L65" s="19"/>
      <c r="M65" s="19"/>
      <c r="N65" s="19"/>
      <c r="O65" s="19"/>
      <c r="P65" s="19"/>
    </row>
    <row r="66" spans="1:20" s="69" customFormat="1"/>
    <row r="67" spans="1:20" s="69" customFormat="1">
      <c r="O67" s="23"/>
      <c r="P67" s="23"/>
      <c r="Q67" s="23"/>
      <c r="R67" s="23"/>
      <c r="S67" s="23"/>
      <c r="T67" s="23"/>
    </row>
    <row r="68" spans="1:20" s="69" customFormat="1">
      <c r="O68" s="23"/>
      <c r="P68" s="23"/>
      <c r="Q68" s="23"/>
      <c r="R68" s="23"/>
      <c r="S68" s="23"/>
      <c r="T68" s="23"/>
    </row>
    <row r="69" spans="1:20" s="23" customFormat="1">
      <c r="A69" s="69"/>
      <c r="B69" s="21" t="s">
        <v>153</v>
      </c>
      <c r="C69" s="21" t="s">
        <v>92</v>
      </c>
      <c r="D69" s="21" t="s">
        <v>93</v>
      </c>
      <c r="E69" s="21" t="s">
        <v>122</v>
      </c>
      <c r="F69" s="21" t="s">
        <v>94</v>
      </c>
      <c r="G69" s="21" t="s">
        <v>91</v>
      </c>
      <c r="H69" s="64" t="s">
        <v>157</v>
      </c>
      <c r="I69" s="83" t="s">
        <v>154</v>
      </c>
      <c r="J69" s="21" t="s">
        <v>279</v>
      </c>
      <c r="K69" s="21" t="s">
        <v>408</v>
      </c>
      <c r="L69" s="21" t="s">
        <v>423</v>
      </c>
      <c r="M69" s="21" t="s">
        <v>449</v>
      </c>
      <c r="N69" s="64" t="s">
        <v>407</v>
      </c>
      <c r="O69" s="64" t="s">
        <v>422</v>
      </c>
      <c r="P69" s="64" t="s">
        <v>434</v>
      </c>
      <c r="Q69" s="64" t="s">
        <v>448</v>
      </c>
      <c r="R69" s="64" t="s">
        <v>460</v>
      </c>
      <c r="S69" s="64" t="s">
        <v>131</v>
      </c>
      <c r="T69" s="64"/>
    </row>
    <row r="70" spans="1:20" s="73" customFormat="1">
      <c r="B70" s="27" t="s">
        <v>98</v>
      </c>
      <c r="C70" s="27">
        <v>300</v>
      </c>
      <c r="D70" s="27">
        <v>376</v>
      </c>
      <c r="E70" s="27">
        <v>334</v>
      </c>
      <c r="F70" s="27">
        <v>269</v>
      </c>
      <c r="G70" s="27">
        <v>318</v>
      </c>
      <c r="H70" s="27">
        <v>443</v>
      </c>
      <c r="I70" s="27">
        <v>436</v>
      </c>
      <c r="J70" s="26">
        <v>430.08333333333331</v>
      </c>
      <c r="K70" s="26">
        <v>376</v>
      </c>
      <c r="L70" s="26">
        <v>374</v>
      </c>
      <c r="M70" s="27">
        <v>425</v>
      </c>
      <c r="N70" s="64">
        <v>430</v>
      </c>
      <c r="O70" s="64">
        <v>439</v>
      </c>
      <c r="P70" s="64">
        <v>433</v>
      </c>
      <c r="Q70" s="27">
        <v>444</v>
      </c>
      <c r="R70" s="27">
        <v>469</v>
      </c>
      <c r="S70" s="27">
        <v>497</v>
      </c>
      <c r="T70" s="27"/>
    </row>
    <row r="71" spans="1:20" s="73" customFormat="1">
      <c r="B71" s="27" t="s">
        <v>99</v>
      </c>
      <c r="C71" s="27">
        <v>798</v>
      </c>
      <c r="D71" s="27">
        <v>911</v>
      </c>
      <c r="E71" s="27">
        <v>917</v>
      </c>
      <c r="F71" s="27">
        <v>813</v>
      </c>
      <c r="G71" s="27">
        <v>800</v>
      </c>
      <c r="H71" s="27">
        <v>1163</v>
      </c>
      <c r="I71" s="27">
        <v>1337</v>
      </c>
      <c r="J71" s="26">
        <v>1291.1666666666667</v>
      </c>
      <c r="K71" s="26">
        <v>1238</v>
      </c>
      <c r="L71" s="26">
        <v>1310</v>
      </c>
      <c r="M71" s="27">
        <v>1295</v>
      </c>
      <c r="N71" s="64">
        <v>1346</v>
      </c>
      <c r="O71" s="64">
        <v>1364</v>
      </c>
      <c r="P71" s="64">
        <v>1311</v>
      </c>
      <c r="Q71" s="27">
        <v>1333</v>
      </c>
      <c r="R71" s="27">
        <v>1366</v>
      </c>
      <c r="S71" s="27">
        <v>1350</v>
      </c>
      <c r="T71" s="27"/>
    </row>
    <row r="72" spans="1:20" s="27" customFormat="1">
      <c r="B72" s="27" t="s">
        <v>100</v>
      </c>
      <c r="C72" s="27">
        <v>498</v>
      </c>
      <c r="D72" s="27">
        <v>534</v>
      </c>
      <c r="E72" s="27">
        <v>583</v>
      </c>
      <c r="F72" s="27">
        <v>544</v>
      </c>
      <c r="G72" s="27">
        <v>483</v>
      </c>
      <c r="H72" s="27">
        <v>720</v>
      </c>
      <c r="I72" s="27">
        <v>901</v>
      </c>
      <c r="J72" s="27">
        <v>861.25</v>
      </c>
      <c r="K72" s="27">
        <v>832</v>
      </c>
      <c r="L72" s="27">
        <v>946</v>
      </c>
      <c r="M72" s="27">
        <v>885</v>
      </c>
      <c r="N72" s="64">
        <v>927</v>
      </c>
      <c r="O72" s="64">
        <v>941</v>
      </c>
      <c r="P72" s="64">
        <v>892</v>
      </c>
      <c r="Q72" s="27">
        <v>897</v>
      </c>
      <c r="R72" s="27">
        <v>914</v>
      </c>
      <c r="S72" s="27">
        <v>870</v>
      </c>
    </row>
    <row r="73" spans="1:20" ht="41.25">
      <c r="B73" s="29" t="s">
        <v>194</v>
      </c>
      <c r="I73" s="25"/>
      <c r="J73" s="25"/>
      <c r="K73" s="25"/>
      <c r="L73" s="25"/>
      <c r="M73" s="73"/>
      <c r="N73" s="23"/>
      <c r="O73" s="23"/>
      <c r="P73" s="23"/>
      <c r="Q73" s="23"/>
      <c r="R73" s="23"/>
      <c r="S73" s="23"/>
      <c r="T73" s="23"/>
    </row>
    <row r="74" spans="1:20" ht="16.5" customHeight="1">
      <c r="B74" s="29"/>
      <c r="I74" s="25"/>
      <c r="J74" s="25"/>
      <c r="K74" s="25"/>
      <c r="L74" s="25"/>
      <c r="M74" s="25"/>
    </row>
    <row r="75" spans="1:20" ht="20.25">
      <c r="B75" s="20" t="s">
        <v>195</v>
      </c>
    </row>
    <row r="76" spans="1:20" ht="20.25">
      <c r="B76" s="20" t="s">
        <v>474</v>
      </c>
    </row>
    <row r="78" spans="1:20" ht="17.25" customHeight="1">
      <c r="B78" s="135" t="s">
        <v>280</v>
      </c>
      <c r="C78" s="135"/>
      <c r="D78" s="140" t="s">
        <v>25</v>
      </c>
      <c r="E78" s="141"/>
      <c r="F78" s="141"/>
      <c r="G78" s="141"/>
      <c r="H78" s="141"/>
      <c r="I78" s="141"/>
      <c r="J78" s="141"/>
      <c r="K78" s="141"/>
      <c r="L78" s="141"/>
      <c r="M78" s="142"/>
      <c r="N78" s="140" t="s">
        <v>351</v>
      </c>
      <c r="O78" s="141"/>
      <c r="P78" s="141"/>
      <c r="Q78" s="141"/>
      <c r="R78" s="141"/>
      <c r="S78" s="141"/>
      <c r="T78" s="142"/>
    </row>
    <row r="79" spans="1:20" ht="16.5" customHeight="1">
      <c r="B79" s="135"/>
      <c r="C79" s="135"/>
      <c r="D79" s="136" t="s">
        <v>5</v>
      </c>
      <c r="E79" s="136" t="s">
        <v>281</v>
      </c>
      <c r="F79" s="136" t="s">
        <v>282</v>
      </c>
      <c r="G79" s="135" t="s">
        <v>8</v>
      </c>
      <c r="H79" s="143" t="s">
        <v>4</v>
      </c>
      <c r="I79" s="149" t="s">
        <v>283</v>
      </c>
      <c r="J79" s="149" t="s">
        <v>275</v>
      </c>
      <c r="K79" s="149" t="s">
        <v>276</v>
      </c>
      <c r="L79" s="149" t="s">
        <v>277</v>
      </c>
      <c r="M79" s="143" t="s">
        <v>347</v>
      </c>
      <c r="N79" s="139" t="s">
        <v>349</v>
      </c>
      <c r="O79" s="139" t="s">
        <v>409</v>
      </c>
      <c r="P79" s="139" t="s">
        <v>424</v>
      </c>
      <c r="Q79" s="139" t="s">
        <v>16</v>
      </c>
      <c r="R79" s="139" t="s">
        <v>450</v>
      </c>
      <c r="S79" s="139" t="s">
        <v>461</v>
      </c>
      <c r="T79" s="139" t="s">
        <v>131</v>
      </c>
    </row>
    <row r="80" spans="1:20" ht="16.5" customHeight="1">
      <c r="B80" s="135"/>
      <c r="C80" s="135"/>
      <c r="D80" s="136"/>
      <c r="E80" s="136"/>
      <c r="F80" s="136"/>
      <c r="G80" s="136"/>
      <c r="H80" s="144"/>
      <c r="I80" s="150"/>
      <c r="J80" s="150"/>
      <c r="K80" s="150"/>
      <c r="L80" s="151" t="s">
        <v>278</v>
      </c>
      <c r="M80" s="138"/>
      <c r="N80" s="138"/>
      <c r="O80" s="138"/>
      <c r="P80" s="138"/>
      <c r="Q80" s="138"/>
      <c r="R80" s="138"/>
      <c r="S80" s="138"/>
      <c r="T80" s="138"/>
    </row>
    <row r="81" spans="2:20" ht="26.25" customHeight="1">
      <c r="B81" s="148" t="s">
        <v>198</v>
      </c>
      <c r="C81" s="148"/>
      <c r="D81" s="65">
        <v>1141</v>
      </c>
      <c r="E81" s="65">
        <v>1387</v>
      </c>
      <c r="F81" s="65">
        <v>1378</v>
      </c>
      <c r="G81" s="15">
        <v>1363</v>
      </c>
      <c r="H81" s="15">
        <v>1195</v>
      </c>
      <c r="I81" s="15">
        <v>1291</v>
      </c>
      <c r="J81" s="15">
        <v>1443</v>
      </c>
      <c r="K81" s="15">
        <v>1313.9166666666667</v>
      </c>
      <c r="L81" s="15">
        <v>1207</v>
      </c>
      <c r="M81" s="15">
        <v>1350</v>
      </c>
      <c r="N81" s="15">
        <v>1130</v>
      </c>
      <c r="O81" s="15">
        <v>1093.4712295204133</v>
      </c>
      <c r="P81" s="15">
        <v>1133.4608211078985</v>
      </c>
      <c r="Q81" s="15">
        <v>1142</v>
      </c>
      <c r="R81" s="15">
        <v>1109</v>
      </c>
      <c r="S81" s="15">
        <v>1177</v>
      </c>
      <c r="T81" s="15">
        <v>1166</v>
      </c>
    </row>
    <row r="82" spans="2:20" ht="26.25">
      <c r="B82" s="148" t="s">
        <v>199</v>
      </c>
      <c r="C82" s="148"/>
      <c r="D82" s="15">
        <v>930</v>
      </c>
      <c r="E82" s="15">
        <v>1225</v>
      </c>
      <c r="F82" s="15">
        <v>1175</v>
      </c>
      <c r="G82" s="15">
        <v>1147</v>
      </c>
      <c r="H82" s="15">
        <v>1011</v>
      </c>
      <c r="I82" s="15">
        <v>1114</v>
      </c>
      <c r="J82" s="15">
        <v>1453</v>
      </c>
      <c r="K82" s="15">
        <v>1256.8181818181818</v>
      </c>
      <c r="L82" s="15">
        <v>1167</v>
      </c>
      <c r="M82" s="15"/>
      <c r="N82" s="15">
        <v>1341</v>
      </c>
      <c r="O82" s="15">
        <v>1334.9658628636835</v>
      </c>
      <c r="P82" s="15">
        <v>1302.6573188332832</v>
      </c>
      <c r="Q82" s="15">
        <v>1358</v>
      </c>
      <c r="R82" s="15">
        <v>1436</v>
      </c>
      <c r="S82" s="15">
        <v>1484</v>
      </c>
      <c r="T82" s="15">
        <v>1364</v>
      </c>
    </row>
    <row r="83" spans="2:20" ht="26.25" customHeight="1">
      <c r="B83" s="135" t="s">
        <v>200</v>
      </c>
      <c r="C83" s="135"/>
      <c r="D83" s="66">
        <v>1125</v>
      </c>
      <c r="E83" s="66">
        <v>1377</v>
      </c>
      <c r="F83" s="66">
        <v>1366</v>
      </c>
      <c r="G83" s="66">
        <v>1351</v>
      </c>
      <c r="H83" s="66">
        <v>1162</v>
      </c>
      <c r="I83" s="66">
        <v>1219</v>
      </c>
      <c r="J83" s="66">
        <v>1371</v>
      </c>
      <c r="K83" s="66">
        <v>1317.5833333333333</v>
      </c>
      <c r="L83" s="66">
        <v>1255</v>
      </c>
      <c r="M83" s="66">
        <v>1416</v>
      </c>
      <c r="N83" s="66">
        <v>1283</v>
      </c>
      <c r="O83" s="66">
        <v>1239</v>
      </c>
      <c r="P83" s="66">
        <v>1249</v>
      </c>
      <c r="Q83" s="66">
        <v>1238</v>
      </c>
      <c r="R83" s="66">
        <v>1216</v>
      </c>
      <c r="S83" s="66">
        <v>1306</v>
      </c>
      <c r="T83" s="66">
        <v>1211</v>
      </c>
    </row>
    <row r="84" spans="2:20">
      <c r="J84" s="80"/>
      <c r="K84" s="80"/>
      <c r="L84" s="80"/>
      <c r="M84" s="80"/>
      <c r="N84" s="80"/>
      <c r="O84" s="80"/>
      <c r="P84" s="80"/>
    </row>
    <row r="85" spans="2:20">
      <c r="J85" s="80"/>
      <c r="K85" s="80"/>
      <c r="L85" s="80"/>
      <c r="M85" s="80"/>
      <c r="N85" s="80"/>
      <c r="O85" s="80"/>
      <c r="P85" s="80"/>
    </row>
    <row r="86" spans="2:20">
      <c r="J86" s="80"/>
      <c r="K86" s="80"/>
      <c r="L86" s="80"/>
      <c r="M86" s="80"/>
      <c r="N86" s="80"/>
      <c r="O86" s="80"/>
      <c r="P86" s="80"/>
    </row>
    <row r="87" spans="2:20">
      <c r="J87" s="80"/>
      <c r="K87" s="80"/>
      <c r="L87" s="80"/>
      <c r="M87" s="80"/>
      <c r="N87" s="80"/>
      <c r="O87" s="80"/>
      <c r="P87" s="80"/>
    </row>
    <row r="88" spans="2:20">
      <c r="J88" s="80"/>
      <c r="K88" s="80"/>
      <c r="L88" s="80"/>
      <c r="M88" s="80"/>
      <c r="N88" s="80"/>
      <c r="O88" s="80"/>
      <c r="P88" s="80"/>
    </row>
    <row r="89" spans="2:20">
      <c r="J89" s="80"/>
      <c r="K89" s="80"/>
      <c r="L89" s="80"/>
      <c r="M89" s="80"/>
      <c r="N89" s="80"/>
      <c r="O89" s="80"/>
      <c r="P89" s="80"/>
    </row>
    <row r="90" spans="2:20">
      <c r="J90" s="80"/>
      <c r="K90" s="80"/>
      <c r="L90" s="80"/>
      <c r="M90" s="80"/>
      <c r="N90" s="80"/>
      <c r="O90" s="80"/>
      <c r="P90" s="80"/>
    </row>
    <row r="91" spans="2:20">
      <c r="J91" s="80"/>
      <c r="K91" s="80"/>
      <c r="L91" s="80"/>
      <c r="M91" s="80"/>
      <c r="N91" s="80"/>
      <c r="O91" s="80"/>
      <c r="P91" s="80"/>
    </row>
    <row r="92" spans="2:20">
      <c r="J92" s="80"/>
      <c r="K92" s="80"/>
      <c r="L92" s="80"/>
      <c r="M92" s="80"/>
      <c r="N92" s="80"/>
      <c r="O92" s="80"/>
      <c r="P92" s="80"/>
    </row>
    <row r="93" spans="2:20">
      <c r="J93" s="80"/>
      <c r="K93" s="80"/>
      <c r="L93" s="80"/>
      <c r="M93" s="80"/>
      <c r="N93" s="80"/>
      <c r="O93" s="80"/>
      <c r="P93" s="80"/>
    </row>
    <row r="94" spans="2:20">
      <c r="J94" s="80"/>
      <c r="K94" s="80"/>
      <c r="L94" s="80"/>
      <c r="M94" s="80"/>
      <c r="N94" s="80"/>
      <c r="O94" s="80"/>
      <c r="P94" s="80"/>
    </row>
    <row r="95" spans="2:20">
      <c r="J95" s="80"/>
      <c r="K95" s="80"/>
      <c r="L95" s="80"/>
      <c r="M95" s="80"/>
      <c r="N95" s="80"/>
      <c r="O95" s="80"/>
      <c r="P95" s="80"/>
    </row>
    <row r="96" spans="2:20">
      <c r="J96" s="80"/>
      <c r="K96" s="80"/>
      <c r="L96" s="80"/>
      <c r="M96" s="80"/>
      <c r="N96" s="80"/>
      <c r="O96" s="80"/>
      <c r="P96" s="80"/>
    </row>
    <row r="97" spans="1:23">
      <c r="J97" s="80"/>
      <c r="K97" s="80"/>
      <c r="L97" s="80"/>
      <c r="M97" s="80"/>
      <c r="N97" s="80"/>
      <c r="O97" s="80"/>
      <c r="P97" s="80"/>
    </row>
    <row r="98" spans="1:23">
      <c r="J98" s="80"/>
      <c r="K98" s="80"/>
      <c r="L98" s="80"/>
      <c r="M98" s="80"/>
      <c r="N98" s="80"/>
      <c r="O98" s="80"/>
      <c r="P98" s="80"/>
    </row>
    <row r="99" spans="1:23">
      <c r="J99" s="80"/>
      <c r="K99" s="80"/>
      <c r="L99" s="80"/>
      <c r="M99" s="80"/>
      <c r="N99" s="80"/>
      <c r="O99" s="80"/>
      <c r="P99" s="80"/>
    </row>
    <row r="100" spans="1:23">
      <c r="J100" s="80"/>
      <c r="K100" s="80"/>
      <c r="L100" s="80"/>
      <c r="M100" s="80"/>
      <c r="N100" s="80"/>
      <c r="O100" s="80"/>
      <c r="P100" s="80"/>
    </row>
    <row r="101" spans="1:23">
      <c r="J101" s="80"/>
      <c r="K101" s="80"/>
      <c r="L101" s="80"/>
      <c r="M101" s="80"/>
      <c r="N101" s="80"/>
      <c r="O101" s="80"/>
      <c r="P101" s="80"/>
    </row>
    <row r="102" spans="1:23">
      <c r="J102" s="80"/>
      <c r="K102" s="80"/>
      <c r="L102" s="80"/>
      <c r="M102" s="80"/>
      <c r="N102" s="80"/>
      <c r="O102" s="80"/>
      <c r="P102" s="80"/>
    </row>
    <row r="103" spans="1:23" s="69" customFormat="1">
      <c r="J103" s="86"/>
      <c r="K103" s="86"/>
      <c r="L103" s="86"/>
      <c r="M103" s="86"/>
      <c r="N103" s="86"/>
      <c r="O103" s="86"/>
      <c r="P103" s="86"/>
    </row>
    <row r="104" spans="1:23" s="69" customFormat="1">
      <c r="J104" s="86"/>
      <c r="K104" s="86"/>
      <c r="L104" s="86"/>
      <c r="M104" s="86"/>
      <c r="N104" s="86"/>
      <c r="O104" s="86"/>
      <c r="P104" s="86"/>
    </row>
    <row r="105" spans="1:23" s="69" customFormat="1" ht="18.75" customHeight="1">
      <c r="J105" s="86"/>
      <c r="K105" s="86"/>
      <c r="L105" s="86"/>
      <c r="M105" s="86"/>
      <c r="N105" s="86"/>
      <c r="O105" s="86"/>
      <c r="P105" s="86"/>
      <c r="Q105" s="23"/>
      <c r="R105" s="23"/>
      <c r="S105" s="23"/>
      <c r="T105" s="23"/>
    </row>
    <row r="106" spans="1:23" s="23" customFormat="1">
      <c r="A106" s="21"/>
      <c r="B106" s="21" t="s">
        <v>189</v>
      </c>
      <c r="C106" s="21" t="s">
        <v>92</v>
      </c>
      <c r="D106" s="21" t="s">
        <v>93</v>
      </c>
      <c r="E106" s="21" t="s">
        <v>122</v>
      </c>
      <c r="F106" s="21" t="s">
        <v>94</v>
      </c>
      <c r="G106" s="21" t="s">
        <v>91</v>
      </c>
      <c r="H106" s="64" t="s">
        <v>197</v>
      </c>
      <c r="I106" s="83" t="s">
        <v>190</v>
      </c>
      <c r="J106" s="80" t="s">
        <v>279</v>
      </c>
      <c r="K106" s="21" t="s">
        <v>355</v>
      </c>
      <c r="L106" s="21" t="s">
        <v>426</v>
      </c>
      <c r="M106" s="21" t="s">
        <v>435</v>
      </c>
      <c r="N106" s="80" t="s">
        <v>410</v>
      </c>
      <c r="O106" s="80" t="s">
        <v>425</v>
      </c>
      <c r="P106" s="80" t="s">
        <v>432</v>
      </c>
      <c r="Q106" s="64" t="s">
        <v>451</v>
      </c>
      <c r="R106" s="64" t="s">
        <v>462</v>
      </c>
      <c r="S106" s="64" t="s">
        <v>131</v>
      </c>
    </row>
    <row r="107" spans="1:23" s="86" customFormat="1">
      <c r="A107" s="80"/>
      <c r="B107" s="80" t="s">
        <v>98</v>
      </c>
      <c r="C107" s="80">
        <v>482</v>
      </c>
      <c r="D107" s="80">
        <v>615</v>
      </c>
      <c r="E107" s="80">
        <v>573</v>
      </c>
      <c r="F107" s="80">
        <v>445</v>
      </c>
      <c r="G107" s="80">
        <v>567</v>
      </c>
      <c r="H107" s="80">
        <v>757</v>
      </c>
      <c r="I107" s="80">
        <v>811</v>
      </c>
      <c r="J107" s="80">
        <v>744.75</v>
      </c>
      <c r="K107" s="80">
        <v>743</v>
      </c>
      <c r="L107" s="80">
        <v>635</v>
      </c>
      <c r="M107" s="80">
        <v>732</v>
      </c>
      <c r="N107" s="80">
        <v>750</v>
      </c>
      <c r="O107" s="80">
        <v>751</v>
      </c>
      <c r="P107" s="80">
        <v>772</v>
      </c>
      <c r="Q107" s="80">
        <v>826</v>
      </c>
      <c r="R107" s="80">
        <v>802</v>
      </c>
      <c r="S107" s="80">
        <v>822</v>
      </c>
    </row>
    <row r="108" spans="1:23" s="86" customFormat="1">
      <c r="A108" s="80"/>
      <c r="B108" s="80" t="s">
        <v>99</v>
      </c>
      <c r="C108" s="80">
        <v>1607</v>
      </c>
      <c r="D108" s="80">
        <v>1992</v>
      </c>
      <c r="E108" s="80">
        <v>1939</v>
      </c>
      <c r="F108" s="80">
        <v>1795</v>
      </c>
      <c r="G108" s="80">
        <v>1729</v>
      </c>
      <c r="H108" s="80">
        <v>1976</v>
      </c>
      <c r="I108" s="80">
        <v>2182</v>
      </c>
      <c r="J108" s="80">
        <v>2062.4166666666665</v>
      </c>
      <c r="K108" s="80">
        <v>1989</v>
      </c>
      <c r="L108" s="80">
        <v>2053</v>
      </c>
      <c r="M108" s="80">
        <v>2004</v>
      </c>
      <c r="N108" s="80">
        <v>1972</v>
      </c>
      <c r="O108" s="80">
        <v>1982</v>
      </c>
      <c r="P108" s="80">
        <v>1993</v>
      </c>
      <c r="Q108" s="80">
        <v>2026</v>
      </c>
      <c r="R108" s="80">
        <v>2093</v>
      </c>
      <c r="S108" s="80">
        <v>2013</v>
      </c>
    </row>
    <row r="109" spans="1:23" s="86" customFormat="1">
      <c r="A109" s="80"/>
      <c r="B109" s="80" t="s">
        <v>100</v>
      </c>
      <c r="C109" s="80">
        <v>1125</v>
      </c>
      <c r="D109" s="80">
        <v>1377</v>
      </c>
      <c r="E109" s="80">
        <v>1366</v>
      </c>
      <c r="F109" s="80">
        <v>1351</v>
      </c>
      <c r="G109" s="80">
        <v>1162</v>
      </c>
      <c r="H109" s="80">
        <v>1219</v>
      </c>
      <c r="I109" s="80">
        <v>1371</v>
      </c>
      <c r="J109" s="80">
        <v>1317.5833333333333</v>
      </c>
      <c r="K109" s="80">
        <v>1255</v>
      </c>
      <c r="L109" s="80">
        <v>1416</v>
      </c>
      <c r="M109" s="80">
        <v>1283</v>
      </c>
      <c r="N109" s="80">
        <v>1239</v>
      </c>
      <c r="O109" s="80">
        <v>1249</v>
      </c>
      <c r="P109" s="80">
        <v>1238</v>
      </c>
      <c r="Q109" s="80">
        <v>1216</v>
      </c>
      <c r="R109" s="80">
        <v>1306</v>
      </c>
      <c r="S109" s="80">
        <v>1211</v>
      </c>
    </row>
    <row r="110" spans="1:23" ht="20.25">
      <c r="B110" s="20" t="s">
        <v>88</v>
      </c>
      <c r="J110" s="80"/>
      <c r="K110" s="80"/>
      <c r="L110" s="80"/>
      <c r="M110" s="86"/>
      <c r="N110" s="86"/>
      <c r="O110" s="86"/>
      <c r="P110" s="86"/>
      <c r="Q110" s="23"/>
      <c r="R110" s="23"/>
      <c r="S110" s="23"/>
      <c r="T110" s="23"/>
      <c r="U110" s="23"/>
      <c r="V110" s="23"/>
      <c r="W110" s="23"/>
    </row>
    <row r="111" spans="1:23" ht="20.25">
      <c r="B111" s="20" t="s">
        <v>475</v>
      </c>
      <c r="J111" s="80"/>
      <c r="K111" s="80"/>
      <c r="L111" s="80"/>
      <c r="M111" s="80"/>
      <c r="N111" s="80"/>
      <c r="O111" s="80"/>
      <c r="P111" s="80"/>
    </row>
    <row r="112" spans="1:23">
      <c r="J112" s="80"/>
      <c r="K112" s="80"/>
      <c r="L112" s="80"/>
      <c r="M112" s="80"/>
      <c r="N112" s="80"/>
      <c r="O112" s="80"/>
      <c r="P112" s="80"/>
    </row>
    <row r="113" spans="1:20" ht="17.25" customHeight="1">
      <c r="B113" s="135" t="s">
        <v>196</v>
      </c>
      <c r="C113" s="135"/>
      <c r="D113" s="155" t="s">
        <v>25</v>
      </c>
      <c r="E113" s="156"/>
      <c r="F113" s="156"/>
      <c r="G113" s="156"/>
      <c r="H113" s="156"/>
      <c r="I113" s="156"/>
      <c r="J113" s="156"/>
      <c r="K113" s="156"/>
      <c r="L113" s="156"/>
      <c r="M113" s="157"/>
      <c r="N113" s="155" t="s">
        <v>353</v>
      </c>
      <c r="O113" s="156"/>
      <c r="P113" s="156"/>
      <c r="Q113" s="156"/>
      <c r="R113" s="156"/>
      <c r="S113" s="156"/>
      <c r="T113" s="157"/>
    </row>
    <row r="114" spans="1:20" ht="16.5" customHeight="1">
      <c r="B114" s="135"/>
      <c r="C114" s="135"/>
      <c r="D114" s="136" t="s">
        <v>286</v>
      </c>
      <c r="E114" s="136" t="s">
        <v>274</v>
      </c>
      <c r="F114" s="136" t="s">
        <v>7</v>
      </c>
      <c r="G114" s="135" t="s">
        <v>8</v>
      </c>
      <c r="H114" s="143" t="s">
        <v>287</v>
      </c>
      <c r="I114" s="149" t="s">
        <v>156</v>
      </c>
      <c r="J114" s="149" t="s">
        <v>288</v>
      </c>
      <c r="K114" s="149" t="s">
        <v>289</v>
      </c>
      <c r="L114" s="149" t="s">
        <v>277</v>
      </c>
      <c r="M114" s="143" t="s">
        <v>347</v>
      </c>
      <c r="N114" s="139" t="s">
        <v>349</v>
      </c>
      <c r="O114" s="139" t="s">
        <v>406</v>
      </c>
      <c r="P114" s="139" t="s">
        <v>427</v>
      </c>
      <c r="Q114" s="139" t="s">
        <v>433</v>
      </c>
      <c r="R114" s="139" t="s">
        <v>452</v>
      </c>
      <c r="S114" s="139" t="s">
        <v>461</v>
      </c>
      <c r="T114" s="139" t="s">
        <v>131</v>
      </c>
    </row>
    <row r="115" spans="1:20" ht="16.5" customHeight="1">
      <c r="B115" s="135"/>
      <c r="C115" s="135"/>
      <c r="D115" s="136"/>
      <c r="E115" s="136"/>
      <c r="F115" s="136"/>
      <c r="G115" s="136"/>
      <c r="H115" s="144"/>
      <c r="I115" s="150"/>
      <c r="J115" s="150"/>
      <c r="K115" s="150"/>
      <c r="L115" s="151" t="s">
        <v>278</v>
      </c>
      <c r="M115" s="138"/>
      <c r="N115" s="138"/>
      <c r="O115" s="138"/>
      <c r="P115" s="138"/>
      <c r="Q115" s="138"/>
      <c r="R115" s="138"/>
      <c r="S115" s="138"/>
      <c r="T115" s="138"/>
    </row>
    <row r="116" spans="1:20" ht="26.25" customHeight="1">
      <c r="A116" s="67"/>
      <c r="B116" s="148" t="s">
        <v>198</v>
      </c>
      <c r="C116" s="148"/>
      <c r="D116" s="65">
        <v>983</v>
      </c>
      <c r="E116" s="65">
        <v>1501</v>
      </c>
      <c r="F116" s="65">
        <v>1340</v>
      </c>
      <c r="G116" s="15">
        <v>1246</v>
      </c>
      <c r="H116" s="15">
        <v>985</v>
      </c>
      <c r="I116" s="15">
        <v>1698</v>
      </c>
      <c r="J116" s="15">
        <v>1592</v>
      </c>
      <c r="K116" s="15">
        <v>1452.1666666666667</v>
      </c>
      <c r="L116" s="15">
        <v>1331</v>
      </c>
      <c r="M116" s="15">
        <v>1458</v>
      </c>
      <c r="N116" s="15">
        <v>1422</v>
      </c>
      <c r="O116" s="15">
        <v>1416</v>
      </c>
      <c r="P116" s="15">
        <v>1552</v>
      </c>
      <c r="Q116" s="15">
        <v>1473</v>
      </c>
      <c r="R116" s="15">
        <v>1530</v>
      </c>
      <c r="S116" s="15">
        <v>1657</v>
      </c>
      <c r="T116" s="15">
        <v>1705</v>
      </c>
    </row>
    <row r="117" spans="1:20" ht="26.25">
      <c r="A117" s="67"/>
      <c r="B117" s="148" t="s">
        <v>199</v>
      </c>
      <c r="C117" s="148"/>
      <c r="D117" s="15">
        <v>868</v>
      </c>
      <c r="E117" s="15">
        <v>1111</v>
      </c>
      <c r="F117" s="15">
        <v>1192</v>
      </c>
      <c r="G117" s="15">
        <v>1085</v>
      </c>
      <c r="H117" s="15">
        <v>795</v>
      </c>
      <c r="I117" s="15">
        <v>1353</v>
      </c>
      <c r="J117" s="15">
        <v>1341</v>
      </c>
      <c r="K117" s="15">
        <v>1235.75</v>
      </c>
      <c r="L117" s="15">
        <v>2318</v>
      </c>
      <c r="M117" s="15">
        <v>1433</v>
      </c>
      <c r="N117" s="15">
        <v>1282</v>
      </c>
      <c r="O117" s="15">
        <v>1292</v>
      </c>
      <c r="P117" s="15">
        <v>1517</v>
      </c>
      <c r="Q117" s="15">
        <v>1419</v>
      </c>
      <c r="R117" s="15">
        <v>1466</v>
      </c>
      <c r="S117" s="15">
        <v>1447</v>
      </c>
      <c r="T117" s="15">
        <v>1477</v>
      </c>
    </row>
    <row r="118" spans="1:20" ht="26.25" customHeight="1">
      <c r="A118" s="67"/>
      <c r="B118" s="159" t="s">
        <v>200</v>
      </c>
      <c r="C118" s="160"/>
      <c r="D118" s="66">
        <v>974</v>
      </c>
      <c r="E118" s="66">
        <v>1456</v>
      </c>
      <c r="F118" s="66">
        <v>1314</v>
      </c>
      <c r="G118" s="66">
        <v>1223</v>
      </c>
      <c r="H118" s="66">
        <v>996</v>
      </c>
      <c r="I118" s="66">
        <v>1647</v>
      </c>
      <c r="J118" s="66">
        <v>1568</v>
      </c>
      <c r="K118" s="66">
        <v>1442.6666666666667</v>
      </c>
      <c r="L118" s="66">
        <v>1398</v>
      </c>
      <c r="M118" s="66">
        <v>1525</v>
      </c>
      <c r="N118" s="66">
        <v>1451</v>
      </c>
      <c r="O118" s="66">
        <v>1478</v>
      </c>
      <c r="P118" s="66">
        <v>1658</v>
      </c>
      <c r="Q118" s="66">
        <v>1519</v>
      </c>
      <c r="R118" s="66">
        <v>1594</v>
      </c>
      <c r="S118" s="66">
        <v>1648</v>
      </c>
      <c r="T118" s="66">
        <v>1653</v>
      </c>
    </row>
    <row r="119" spans="1:20">
      <c r="J119" s="80"/>
      <c r="K119" s="80"/>
      <c r="L119" s="80"/>
      <c r="M119" s="80"/>
      <c r="N119" s="80"/>
      <c r="O119" s="80"/>
    </row>
    <row r="120" spans="1:20">
      <c r="J120" s="80"/>
      <c r="K120" s="80"/>
      <c r="L120" s="80"/>
      <c r="M120" s="80"/>
      <c r="N120" s="80"/>
      <c r="O120" s="80"/>
    </row>
    <row r="121" spans="1:20">
      <c r="J121" s="80"/>
      <c r="K121" s="80"/>
      <c r="L121" s="80"/>
      <c r="M121" s="80"/>
      <c r="N121" s="80"/>
      <c r="O121" s="80"/>
    </row>
    <row r="122" spans="1:20">
      <c r="J122" s="80"/>
      <c r="K122" s="80"/>
      <c r="L122" s="80"/>
      <c r="M122" s="80"/>
      <c r="N122" s="80"/>
      <c r="O122" s="80"/>
    </row>
    <row r="123" spans="1:20">
      <c r="J123" s="80"/>
      <c r="K123" s="80"/>
      <c r="L123" s="80"/>
      <c r="M123" s="80"/>
      <c r="N123" s="80"/>
      <c r="O123" s="80"/>
    </row>
    <row r="124" spans="1:20">
      <c r="J124" s="80"/>
      <c r="K124" s="80"/>
      <c r="L124" s="80"/>
      <c r="M124" s="80"/>
      <c r="N124" s="80"/>
      <c r="O124" s="80"/>
    </row>
    <row r="125" spans="1:20">
      <c r="J125" s="80"/>
      <c r="K125" s="80"/>
      <c r="L125" s="80"/>
      <c r="M125" s="80"/>
      <c r="N125" s="80"/>
      <c r="O125" s="80"/>
    </row>
    <row r="126" spans="1:20">
      <c r="J126" s="80"/>
      <c r="K126" s="80"/>
      <c r="L126" s="80"/>
      <c r="M126" s="80"/>
      <c r="N126" s="80"/>
      <c r="O126" s="80"/>
    </row>
    <row r="127" spans="1:20">
      <c r="J127" s="80"/>
      <c r="K127" s="80"/>
      <c r="L127" s="80"/>
      <c r="M127" s="80"/>
      <c r="N127" s="80"/>
      <c r="O127" s="80"/>
    </row>
    <row r="128" spans="1:20">
      <c r="J128" s="80"/>
      <c r="K128" s="80"/>
      <c r="L128" s="80"/>
      <c r="M128" s="80"/>
      <c r="N128" s="80"/>
      <c r="O128" s="80"/>
    </row>
    <row r="129" spans="1:20">
      <c r="J129" s="80"/>
      <c r="K129" s="80"/>
      <c r="L129" s="80"/>
      <c r="M129" s="80"/>
      <c r="N129" s="80"/>
      <c r="O129" s="80"/>
    </row>
    <row r="130" spans="1:20">
      <c r="J130" s="80"/>
      <c r="K130" s="80"/>
      <c r="L130" s="80"/>
      <c r="M130" s="80"/>
      <c r="N130" s="80"/>
      <c r="O130" s="80"/>
    </row>
    <row r="131" spans="1:20">
      <c r="J131" s="80"/>
      <c r="K131" s="80"/>
      <c r="L131" s="80"/>
      <c r="M131" s="80"/>
      <c r="N131" s="80"/>
      <c r="O131" s="80"/>
    </row>
    <row r="132" spans="1:20">
      <c r="J132" s="80"/>
      <c r="K132" s="80"/>
      <c r="L132" s="80"/>
      <c r="M132" s="80"/>
      <c r="N132" s="80"/>
      <c r="O132" s="80"/>
    </row>
    <row r="133" spans="1:20">
      <c r="J133" s="80"/>
      <c r="K133" s="80"/>
      <c r="L133" s="80"/>
      <c r="M133" s="80"/>
      <c r="N133" s="80"/>
      <c r="O133" s="80"/>
    </row>
    <row r="134" spans="1:20">
      <c r="J134" s="80"/>
      <c r="K134" s="80"/>
      <c r="L134" s="80"/>
      <c r="M134" s="80"/>
      <c r="N134" s="80"/>
      <c r="O134" s="80"/>
    </row>
    <row r="135" spans="1:20">
      <c r="J135" s="80"/>
      <c r="K135" s="80"/>
      <c r="L135" s="80"/>
      <c r="M135" s="80"/>
      <c r="N135" s="80"/>
      <c r="O135" s="80"/>
    </row>
    <row r="136" spans="1:20">
      <c r="J136" s="80"/>
      <c r="K136" s="80"/>
      <c r="L136" s="80"/>
      <c r="M136" s="80"/>
      <c r="N136" s="80"/>
      <c r="O136" s="80"/>
    </row>
    <row r="137" spans="1:20" s="69" customFormat="1">
      <c r="J137" s="80"/>
      <c r="K137" s="80"/>
      <c r="L137" s="80"/>
      <c r="M137" s="80"/>
      <c r="N137" s="80"/>
      <c r="O137" s="80"/>
    </row>
    <row r="138" spans="1:20" s="69" customFormat="1">
      <c r="J138" s="80"/>
      <c r="K138" s="80"/>
      <c r="L138" s="80"/>
      <c r="M138" s="80"/>
      <c r="N138" s="80"/>
      <c r="O138" s="80"/>
    </row>
    <row r="139" spans="1:20" s="69" customFormat="1">
      <c r="J139" s="80"/>
      <c r="K139" s="80"/>
      <c r="L139" s="80"/>
      <c r="M139" s="80"/>
      <c r="N139" s="80"/>
      <c r="O139" s="80"/>
    </row>
    <row r="140" spans="1:20" s="69" customFormat="1">
      <c r="J140" s="86"/>
      <c r="K140" s="86"/>
      <c r="L140" s="86"/>
      <c r="M140" s="86"/>
      <c r="N140" s="86"/>
      <c r="O140" s="86"/>
      <c r="P140" s="23"/>
      <c r="Q140" s="23"/>
      <c r="R140" s="23"/>
      <c r="S140" s="23"/>
    </row>
    <row r="141" spans="1:20" s="23" customFormat="1">
      <c r="A141" s="21"/>
      <c r="B141" s="21" t="s">
        <v>189</v>
      </c>
      <c r="C141" s="21" t="s">
        <v>92</v>
      </c>
      <c r="D141" s="21" t="s">
        <v>93</v>
      </c>
      <c r="E141" s="21" t="s">
        <v>122</v>
      </c>
      <c r="F141" s="21" t="s">
        <v>94</v>
      </c>
      <c r="G141" s="21" t="s">
        <v>91</v>
      </c>
      <c r="H141" s="64" t="s">
        <v>197</v>
      </c>
      <c r="I141" s="83" t="s">
        <v>190</v>
      </c>
      <c r="J141" s="80" t="s">
        <v>279</v>
      </c>
      <c r="K141" s="21" t="s">
        <v>412</v>
      </c>
      <c r="L141" s="21" t="s">
        <v>426</v>
      </c>
      <c r="M141" s="64" t="s">
        <v>464</v>
      </c>
      <c r="N141" s="80" t="s">
        <v>411</v>
      </c>
      <c r="O141" s="80" t="s">
        <v>425</v>
      </c>
      <c r="P141" s="64" t="s">
        <v>434</v>
      </c>
      <c r="Q141" s="64" t="s">
        <v>451</v>
      </c>
      <c r="R141" s="64" t="s">
        <v>463</v>
      </c>
      <c r="S141" s="27" t="s">
        <v>131</v>
      </c>
      <c r="T141" s="64"/>
    </row>
    <row r="142" spans="1:20" s="73" customFormat="1">
      <c r="A142" s="27"/>
      <c r="B142" s="27" t="s">
        <v>98</v>
      </c>
      <c r="C142" s="27">
        <v>481</v>
      </c>
      <c r="D142" s="27">
        <v>604</v>
      </c>
      <c r="E142" s="27">
        <v>541</v>
      </c>
      <c r="F142" s="27">
        <v>438</v>
      </c>
      <c r="G142" s="27">
        <v>498</v>
      </c>
      <c r="H142" s="27">
        <v>678</v>
      </c>
      <c r="I142" s="27">
        <v>703</v>
      </c>
      <c r="J142" s="80">
        <v>661.5</v>
      </c>
      <c r="K142" s="80">
        <v>604</v>
      </c>
      <c r="L142" s="80">
        <v>558</v>
      </c>
      <c r="M142" s="80">
        <v>598</v>
      </c>
      <c r="N142" s="80">
        <v>596</v>
      </c>
      <c r="O142" s="80">
        <v>611</v>
      </c>
      <c r="P142" s="27">
        <v>618</v>
      </c>
      <c r="Q142" s="27">
        <v>635</v>
      </c>
      <c r="R142" s="27">
        <v>633</v>
      </c>
      <c r="S142" s="27">
        <v>660</v>
      </c>
      <c r="T142" s="27"/>
    </row>
    <row r="143" spans="1:20" s="73" customFormat="1">
      <c r="A143" s="27"/>
      <c r="B143" s="27" t="s">
        <v>99</v>
      </c>
      <c r="C143" s="27">
        <v>1455</v>
      </c>
      <c r="D143" s="27">
        <v>2060</v>
      </c>
      <c r="E143" s="27">
        <v>1855</v>
      </c>
      <c r="F143" s="27">
        <v>1541</v>
      </c>
      <c r="G143" s="27">
        <v>1495</v>
      </c>
      <c r="H143" s="27">
        <v>2325</v>
      </c>
      <c r="I143" s="27">
        <v>2271</v>
      </c>
      <c r="J143" s="80">
        <v>2104.1666666666665</v>
      </c>
      <c r="K143" s="80">
        <v>2023</v>
      </c>
      <c r="L143" s="80">
        <v>2096</v>
      </c>
      <c r="M143" s="80">
        <v>2046</v>
      </c>
      <c r="N143" s="80">
        <v>2071</v>
      </c>
      <c r="O143" s="80">
        <v>2269</v>
      </c>
      <c r="P143" s="27">
        <v>2136</v>
      </c>
      <c r="Q143" s="27">
        <v>2227</v>
      </c>
      <c r="R143" s="27">
        <v>2286</v>
      </c>
      <c r="S143" s="27">
        <v>2314</v>
      </c>
      <c r="T143" s="27"/>
    </row>
    <row r="144" spans="1:20" s="73" customFormat="1">
      <c r="A144" s="27"/>
      <c r="B144" s="27" t="s">
        <v>100</v>
      </c>
      <c r="C144" s="27">
        <v>974</v>
      </c>
      <c r="D144" s="27">
        <v>1456</v>
      </c>
      <c r="E144" s="27">
        <v>1314</v>
      </c>
      <c r="F144" s="27">
        <v>1223</v>
      </c>
      <c r="G144" s="27">
        <v>996</v>
      </c>
      <c r="H144" s="27">
        <v>1647</v>
      </c>
      <c r="I144" s="27">
        <v>1568</v>
      </c>
      <c r="J144" s="80">
        <v>1442.6666666666667</v>
      </c>
      <c r="K144" s="80">
        <v>1398</v>
      </c>
      <c r="L144" s="80">
        <v>1525</v>
      </c>
      <c r="M144" s="80">
        <v>1451</v>
      </c>
      <c r="N144" s="80">
        <v>1478</v>
      </c>
      <c r="O144" s="80">
        <v>1658</v>
      </c>
      <c r="P144" s="27">
        <v>1519</v>
      </c>
      <c r="Q144" s="27">
        <v>1594</v>
      </c>
      <c r="R144" s="27">
        <v>1648</v>
      </c>
      <c r="S144" s="27">
        <v>1653</v>
      </c>
      <c r="T144" s="27"/>
    </row>
    <row r="145" spans="2:32" ht="41.25">
      <c r="B145" s="29" t="s">
        <v>201</v>
      </c>
      <c r="J145" s="80"/>
      <c r="K145" s="80"/>
      <c r="L145" s="80"/>
      <c r="M145" s="80"/>
      <c r="N145" s="80"/>
      <c r="O145" s="80"/>
      <c r="P145" s="64"/>
      <c r="Q145" s="64"/>
      <c r="R145" s="64"/>
      <c r="S145" s="64"/>
      <c r="T145" s="64"/>
      <c r="U145" s="23"/>
      <c r="V145" s="23"/>
      <c r="W145" s="23"/>
    </row>
    <row r="146" spans="2:32" ht="16.5" customHeight="1">
      <c r="B146" s="29"/>
      <c r="J146" s="80"/>
      <c r="K146" s="80"/>
      <c r="L146" s="80"/>
      <c r="M146" s="80"/>
      <c r="N146" s="80"/>
      <c r="O146" s="80"/>
    </row>
    <row r="147" spans="2:32" ht="20.25">
      <c r="B147" s="82" t="s">
        <v>192</v>
      </c>
      <c r="J147" s="80"/>
      <c r="K147" s="80"/>
      <c r="L147" s="80"/>
      <c r="M147" s="80"/>
      <c r="N147" s="80"/>
      <c r="O147" s="80"/>
    </row>
    <row r="148" spans="2:32" ht="20.25">
      <c r="B148" s="20" t="s">
        <v>476</v>
      </c>
      <c r="J148" s="80"/>
      <c r="K148" s="80"/>
      <c r="L148" s="80"/>
      <c r="M148" s="80"/>
      <c r="N148" s="80"/>
      <c r="O148" s="80"/>
    </row>
    <row r="149" spans="2:32">
      <c r="J149" s="80"/>
      <c r="K149" s="80"/>
      <c r="L149" s="80"/>
      <c r="M149" s="80"/>
      <c r="N149" s="80"/>
      <c r="O149" s="80"/>
    </row>
    <row r="150" spans="2:32" ht="17.25" customHeight="1">
      <c r="B150" s="135" t="s">
        <v>206</v>
      </c>
      <c r="C150" s="135"/>
      <c r="D150" s="136" t="s">
        <v>207</v>
      </c>
      <c r="E150" s="136"/>
      <c r="F150" s="136"/>
      <c r="G150" s="136"/>
      <c r="H150" s="136"/>
      <c r="I150" s="136"/>
      <c r="J150" s="136"/>
      <c r="K150" s="136"/>
      <c r="L150" s="136"/>
      <c r="M150" s="159" t="s">
        <v>242</v>
      </c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0"/>
      <c r="Y150" s="159" t="s">
        <v>357</v>
      </c>
      <c r="Z150" s="161"/>
      <c r="AA150" s="161"/>
      <c r="AB150" s="161"/>
      <c r="AC150" s="161"/>
      <c r="AD150" s="161"/>
      <c r="AE150" s="161"/>
      <c r="AF150" s="160"/>
    </row>
    <row r="151" spans="2:32" ht="16.5" customHeight="1">
      <c r="B151" s="135"/>
      <c r="C151" s="135"/>
      <c r="D151" s="136" t="s">
        <v>208</v>
      </c>
      <c r="E151" s="136" t="s">
        <v>209</v>
      </c>
      <c r="F151" s="136" t="s">
        <v>7</v>
      </c>
      <c r="G151" s="135" t="s">
        <v>210</v>
      </c>
      <c r="H151" s="143" t="s">
        <v>211</v>
      </c>
      <c r="I151" s="149" t="s">
        <v>156</v>
      </c>
      <c r="J151" s="154" t="s">
        <v>275</v>
      </c>
      <c r="K151" s="158" t="s">
        <v>290</v>
      </c>
      <c r="L151" s="152" t="s">
        <v>356</v>
      </c>
      <c r="M151" s="139" t="s">
        <v>244</v>
      </c>
      <c r="N151" s="136" t="s">
        <v>256</v>
      </c>
      <c r="O151" s="139" t="s">
        <v>37</v>
      </c>
      <c r="P151" s="139" t="s">
        <v>266</v>
      </c>
      <c r="Q151" s="139" t="s">
        <v>272</v>
      </c>
      <c r="R151" s="139" t="s">
        <v>308</v>
      </c>
      <c r="S151" s="139" t="s">
        <v>314</v>
      </c>
      <c r="T151" s="139" t="s">
        <v>320</v>
      </c>
      <c r="U151" s="139" t="s">
        <v>240</v>
      </c>
      <c r="V151" s="139" t="s">
        <v>328</v>
      </c>
      <c r="W151" s="139" t="s">
        <v>337</v>
      </c>
      <c r="X151" s="139" t="s">
        <v>341</v>
      </c>
      <c r="Y151" s="135" t="s">
        <v>347</v>
      </c>
      <c r="Z151" s="139" t="s">
        <v>111</v>
      </c>
      <c r="AA151" s="139" t="s">
        <v>413</v>
      </c>
      <c r="AB151" s="139" t="s">
        <v>427</v>
      </c>
      <c r="AC151" s="139" t="s">
        <v>436</v>
      </c>
      <c r="AD151" s="139" t="s">
        <v>453</v>
      </c>
      <c r="AE151" s="139" t="s">
        <v>459</v>
      </c>
      <c r="AF151" s="139" t="s">
        <v>131</v>
      </c>
    </row>
    <row r="152" spans="2:32" ht="16.5" customHeight="1">
      <c r="B152" s="135"/>
      <c r="C152" s="135"/>
      <c r="D152" s="136"/>
      <c r="E152" s="136"/>
      <c r="F152" s="136"/>
      <c r="G152" s="136"/>
      <c r="H152" s="144"/>
      <c r="I152" s="150"/>
      <c r="J152" s="154"/>
      <c r="K152" s="154"/>
      <c r="L152" s="153"/>
      <c r="M152" s="138"/>
      <c r="N152" s="136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6"/>
      <c r="Z152" s="138"/>
      <c r="AA152" s="138"/>
      <c r="AB152" s="138"/>
      <c r="AC152" s="138"/>
      <c r="AD152" s="138"/>
      <c r="AE152" s="138"/>
      <c r="AF152" s="138"/>
    </row>
    <row r="153" spans="2:32" ht="26.25" customHeight="1">
      <c r="B153" s="148" t="s">
        <v>146</v>
      </c>
      <c r="C153" s="148"/>
      <c r="D153" s="15">
        <v>1143</v>
      </c>
      <c r="E153" s="15">
        <v>1364</v>
      </c>
      <c r="F153" s="15">
        <v>1383</v>
      </c>
      <c r="G153" s="15">
        <v>1345</v>
      </c>
      <c r="H153" s="15">
        <v>1202</v>
      </c>
      <c r="I153" s="15">
        <v>1290</v>
      </c>
      <c r="J153" s="15">
        <v>1443</v>
      </c>
      <c r="K153" s="15">
        <v>1313</v>
      </c>
      <c r="L153" s="15">
        <v>1205.5549017662329</v>
      </c>
      <c r="M153" s="119">
        <v>1253</v>
      </c>
      <c r="N153" s="119">
        <v>1237</v>
      </c>
      <c r="O153" s="119">
        <v>1244</v>
      </c>
      <c r="P153" s="119">
        <v>1254</v>
      </c>
      <c r="Q153" s="119">
        <v>1174</v>
      </c>
      <c r="R153" s="119">
        <v>1164</v>
      </c>
      <c r="S153" s="119">
        <v>1238</v>
      </c>
      <c r="T153" s="119">
        <v>1245</v>
      </c>
      <c r="U153" s="119">
        <v>1212.0940763485983</v>
      </c>
      <c r="V153" s="119">
        <v>1184.903910811272</v>
      </c>
      <c r="W153" s="119">
        <v>1144.071153982349</v>
      </c>
      <c r="X153" s="119">
        <v>1104</v>
      </c>
      <c r="Y153" s="119">
        <v>1350</v>
      </c>
      <c r="Z153" s="119">
        <v>1129.9175968199947</v>
      </c>
      <c r="AA153" s="119">
        <v>1093.4712295204133</v>
      </c>
      <c r="AB153" s="119">
        <v>1131</v>
      </c>
      <c r="AC153" s="119">
        <v>1140</v>
      </c>
      <c r="AD153" s="119">
        <v>1106.4905416293475</v>
      </c>
      <c r="AE153" s="119">
        <v>1177.2577175821502</v>
      </c>
      <c r="AF153" s="119">
        <v>1162.929150152966</v>
      </c>
    </row>
    <row r="154" spans="2:32" ht="26.25">
      <c r="B154" s="148" t="s">
        <v>147</v>
      </c>
      <c r="C154" s="148"/>
      <c r="D154" s="15">
        <v>1103</v>
      </c>
      <c r="E154" s="15">
        <v>1199</v>
      </c>
      <c r="F154" s="15">
        <v>1072</v>
      </c>
      <c r="G154" s="15">
        <v>1135</v>
      </c>
      <c r="H154" s="15">
        <v>1027</v>
      </c>
      <c r="I154" s="15">
        <v>1218</v>
      </c>
      <c r="J154" s="15">
        <v>1446</v>
      </c>
      <c r="K154" s="15">
        <v>1379</v>
      </c>
      <c r="L154" s="15">
        <v>1256.9191459719443</v>
      </c>
      <c r="M154" s="119">
        <v>1235</v>
      </c>
      <c r="N154" s="119">
        <v>1092</v>
      </c>
      <c r="O154" s="119">
        <v>1269</v>
      </c>
      <c r="P154" s="119">
        <v>1214</v>
      </c>
      <c r="Q154" s="119">
        <v>1324</v>
      </c>
      <c r="R154" s="119">
        <v>1338</v>
      </c>
      <c r="S154" s="119">
        <v>1176</v>
      </c>
      <c r="T154" s="119">
        <v>1116</v>
      </c>
      <c r="U154" s="119">
        <v>1335.0641862903997</v>
      </c>
      <c r="V154" s="119">
        <v>1343.7026986356341</v>
      </c>
      <c r="W154" s="119">
        <v>1364.0669037517678</v>
      </c>
      <c r="X154" s="119">
        <v>1375</v>
      </c>
      <c r="Y154" s="119"/>
      <c r="Z154" s="119">
        <v>1373.2684276695181</v>
      </c>
      <c r="AA154" s="119">
        <v>1365.2875930478435</v>
      </c>
      <c r="AB154" s="119">
        <v>1330</v>
      </c>
      <c r="AC154" s="119">
        <v>1371</v>
      </c>
      <c r="AD154" s="119">
        <v>1435.8242315369262</v>
      </c>
      <c r="AE154" s="119">
        <v>1484.4057740075923</v>
      </c>
      <c r="AF154" s="119">
        <v>1437.3913298624695</v>
      </c>
    </row>
    <row r="155" spans="2:32" ht="26.25" customHeight="1">
      <c r="B155" s="135" t="s">
        <v>144</v>
      </c>
      <c r="C155" s="135"/>
      <c r="D155" s="66">
        <v>1178</v>
      </c>
      <c r="E155" s="66">
        <v>1394</v>
      </c>
      <c r="F155" s="66">
        <v>1390</v>
      </c>
      <c r="G155" s="66">
        <v>1368</v>
      </c>
      <c r="H155" s="66">
        <v>1218</v>
      </c>
      <c r="I155" s="66">
        <v>1314</v>
      </c>
      <c r="J155" s="66">
        <v>1477</v>
      </c>
      <c r="K155" s="66">
        <v>1343</v>
      </c>
      <c r="L155" s="66">
        <v>1244</v>
      </c>
      <c r="M155" s="120">
        <v>1273</v>
      </c>
      <c r="N155" s="120">
        <v>1267</v>
      </c>
      <c r="O155" s="120">
        <v>1281</v>
      </c>
      <c r="P155" s="120">
        <v>1291</v>
      </c>
      <c r="Q155" s="120">
        <v>1207</v>
      </c>
      <c r="R155" s="120">
        <v>1191</v>
      </c>
      <c r="S155" s="120">
        <v>1273</v>
      </c>
      <c r="T155" s="120">
        <v>1276</v>
      </c>
      <c r="U155" s="120">
        <v>1257</v>
      </c>
      <c r="V155" s="120">
        <v>1221</v>
      </c>
      <c r="W155" s="120">
        <v>1196</v>
      </c>
      <c r="X155" s="120">
        <v>1183</v>
      </c>
      <c r="Y155" s="120">
        <v>1363</v>
      </c>
      <c r="Z155" s="120">
        <v>1192</v>
      </c>
      <c r="AA155" s="120">
        <v>1140</v>
      </c>
      <c r="AB155" s="120">
        <v>1181</v>
      </c>
      <c r="AC155" s="120">
        <v>1175</v>
      </c>
      <c r="AD155" s="120">
        <v>1144</v>
      </c>
      <c r="AE155" s="120">
        <v>1248</v>
      </c>
      <c r="AF155" s="120">
        <v>1238.077984401606</v>
      </c>
    </row>
    <row r="156" spans="2:32">
      <c r="I156" s="23"/>
      <c r="J156" s="23"/>
      <c r="K156" s="23"/>
      <c r="L156" s="23"/>
      <c r="M156" s="23"/>
      <c r="N156" s="23"/>
      <c r="O156" s="23"/>
      <c r="P156" s="23"/>
    </row>
    <row r="157" spans="2:32">
      <c r="I157" s="23"/>
      <c r="J157" s="23"/>
      <c r="K157" s="23"/>
      <c r="L157" s="23"/>
      <c r="M157" s="23"/>
      <c r="N157" s="23"/>
      <c r="O157" s="23"/>
      <c r="P157" s="23"/>
    </row>
    <row r="158" spans="2:32">
      <c r="I158" s="23"/>
      <c r="J158" s="23"/>
      <c r="K158" s="23"/>
      <c r="L158" s="23"/>
      <c r="M158" s="23"/>
      <c r="N158" s="23"/>
      <c r="O158" s="23"/>
      <c r="P158" s="23"/>
    </row>
    <row r="159" spans="2:32">
      <c r="I159" s="23"/>
      <c r="J159" s="23"/>
      <c r="K159" s="23"/>
      <c r="L159" s="23"/>
      <c r="M159" s="23"/>
      <c r="N159" s="23"/>
      <c r="O159" s="23"/>
      <c r="P159" s="23"/>
    </row>
    <row r="160" spans="2:32">
      <c r="I160" s="23"/>
      <c r="J160" s="23"/>
      <c r="K160" s="23"/>
      <c r="L160" s="23"/>
      <c r="M160" s="23"/>
      <c r="N160" s="23"/>
      <c r="O160" s="23"/>
      <c r="P160" s="23"/>
    </row>
    <row r="161" spans="9:16">
      <c r="I161" s="23"/>
      <c r="J161" s="23"/>
      <c r="K161" s="23"/>
      <c r="L161" s="23"/>
      <c r="M161" s="23"/>
      <c r="N161" s="23"/>
      <c r="O161" s="23"/>
      <c r="P161" s="23"/>
    </row>
    <row r="162" spans="9:16">
      <c r="I162" s="23"/>
      <c r="J162" s="23"/>
      <c r="K162" s="23"/>
      <c r="L162" s="23"/>
      <c r="M162" s="23"/>
      <c r="N162" s="23"/>
      <c r="O162" s="23"/>
      <c r="P162" s="23"/>
    </row>
    <row r="163" spans="9:16">
      <c r="I163" s="23"/>
      <c r="J163" s="23"/>
      <c r="K163" s="23"/>
      <c r="L163" s="23"/>
      <c r="M163" s="23"/>
      <c r="N163" s="23"/>
      <c r="O163" s="23"/>
      <c r="P163" s="23"/>
    </row>
    <row r="164" spans="9:16">
      <c r="I164" s="23"/>
      <c r="J164" s="23"/>
      <c r="K164" s="23"/>
      <c r="L164" s="23"/>
      <c r="M164" s="23"/>
      <c r="N164" s="23"/>
      <c r="O164" s="23"/>
      <c r="P164" s="23"/>
    </row>
    <row r="165" spans="9:16">
      <c r="I165" s="23"/>
      <c r="J165" s="23"/>
      <c r="K165" s="23"/>
      <c r="L165" s="23"/>
      <c r="M165" s="23"/>
      <c r="N165" s="23"/>
      <c r="O165" s="23"/>
      <c r="P165" s="23"/>
    </row>
    <row r="166" spans="9:16">
      <c r="I166" s="23"/>
      <c r="J166" s="23"/>
      <c r="K166" s="23"/>
      <c r="L166" s="23"/>
      <c r="M166" s="23"/>
      <c r="N166" s="23"/>
      <c r="O166" s="23"/>
      <c r="P166" s="23"/>
    </row>
    <row r="167" spans="9:16">
      <c r="I167" s="23"/>
      <c r="J167" s="23"/>
      <c r="K167" s="23"/>
      <c r="L167" s="23"/>
      <c r="M167" s="23"/>
      <c r="N167" s="23"/>
      <c r="O167" s="23"/>
      <c r="P167" s="23"/>
    </row>
    <row r="168" spans="9:16">
      <c r="I168" s="23"/>
      <c r="J168" s="23"/>
      <c r="K168" s="23"/>
      <c r="L168" s="23"/>
      <c r="M168" s="23"/>
      <c r="N168" s="23"/>
      <c r="O168" s="23"/>
      <c r="P168" s="23"/>
    </row>
    <row r="169" spans="9:16">
      <c r="I169" s="23"/>
      <c r="J169" s="23"/>
      <c r="K169" s="23"/>
      <c r="L169" s="23"/>
      <c r="M169" s="23"/>
      <c r="N169" s="23"/>
      <c r="O169" s="23"/>
      <c r="P169" s="23"/>
    </row>
    <row r="170" spans="9:16">
      <c r="I170" s="23"/>
      <c r="J170" s="23"/>
      <c r="K170" s="23"/>
      <c r="L170" s="23"/>
      <c r="M170" s="23"/>
      <c r="N170" s="23"/>
      <c r="O170" s="23"/>
      <c r="P170" s="23"/>
    </row>
    <row r="171" spans="9:16">
      <c r="I171" s="23"/>
      <c r="J171" s="23"/>
      <c r="K171" s="23"/>
      <c r="L171" s="23"/>
      <c r="M171" s="23"/>
      <c r="N171" s="23"/>
      <c r="O171" s="23"/>
      <c r="P171" s="23"/>
    </row>
    <row r="172" spans="9:16">
      <c r="I172" s="23"/>
      <c r="J172" s="23"/>
      <c r="K172" s="23"/>
      <c r="L172" s="23"/>
      <c r="M172" s="23"/>
      <c r="N172" s="23"/>
      <c r="O172" s="23"/>
      <c r="P172" s="23"/>
    </row>
    <row r="173" spans="9:16" s="69" customFormat="1">
      <c r="I173" s="23"/>
      <c r="J173" s="23"/>
      <c r="K173" s="23"/>
      <c r="L173" s="23"/>
      <c r="M173" s="23"/>
      <c r="N173" s="23"/>
      <c r="O173" s="23"/>
      <c r="P173" s="23"/>
    </row>
    <row r="174" spans="9:16" s="69" customFormat="1">
      <c r="I174" s="23"/>
      <c r="J174" s="23"/>
      <c r="K174" s="23"/>
      <c r="L174" s="23"/>
      <c r="M174" s="23"/>
      <c r="N174" s="23"/>
      <c r="O174" s="23"/>
      <c r="P174" s="23"/>
    </row>
    <row r="175" spans="9:16" s="69" customFormat="1"/>
    <row r="176" spans="9:16" s="69" customFormat="1"/>
    <row r="177" spans="1:35" s="69" customFormat="1">
      <c r="AB177" s="23"/>
      <c r="AC177" s="23"/>
      <c r="AD177" s="23"/>
      <c r="AE177" s="23"/>
      <c r="AF177" s="23"/>
    </row>
    <row r="178" spans="1:35" s="27" customFormat="1">
      <c r="A178" s="26"/>
      <c r="B178" s="26" t="s">
        <v>189</v>
      </c>
      <c r="C178" s="27" t="s">
        <v>92</v>
      </c>
      <c r="D178" s="27" t="s">
        <v>93</v>
      </c>
      <c r="E178" s="27" t="s">
        <v>122</v>
      </c>
      <c r="F178" s="27" t="s">
        <v>94</v>
      </c>
      <c r="G178" s="26" t="s">
        <v>91</v>
      </c>
      <c r="H178" s="27" t="s">
        <v>213</v>
      </c>
      <c r="I178" s="80" t="s">
        <v>154</v>
      </c>
      <c r="J178" s="80" t="s">
        <v>279</v>
      </c>
      <c r="K178" s="80" t="s">
        <v>243</v>
      </c>
      <c r="L178" s="27" t="s">
        <v>246</v>
      </c>
      <c r="M178" s="91" t="s">
        <v>15</v>
      </c>
      <c r="N178" s="91" t="s">
        <v>260</v>
      </c>
      <c r="O178" s="91" t="s">
        <v>264</v>
      </c>
      <c r="P178" s="27" t="s">
        <v>271</v>
      </c>
      <c r="Q178" s="26" t="s">
        <v>305</v>
      </c>
      <c r="R178" s="27" t="s">
        <v>313</v>
      </c>
      <c r="S178" s="27" t="s">
        <v>321</v>
      </c>
      <c r="T178" s="27" t="s">
        <v>326</v>
      </c>
      <c r="U178" s="27" t="s">
        <v>330</v>
      </c>
      <c r="V178" s="27" t="s">
        <v>336</v>
      </c>
      <c r="W178" s="27" t="s">
        <v>342</v>
      </c>
      <c r="X178" s="27" t="s">
        <v>358</v>
      </c>
      <c r="Y178" s="27" t="s">
        <v>359</v>
      </c>
      <c r="Z178" s="27" t="s">
        <v>414</v>
      </c>
      <c r="AA178" s="27" t="s">
        <v>428</v>
      </c>
      <c r="AB178" s="27" t="s">
        <v>434</v>
      </c>
      <c r="AC178" s="27" t="s">
        <v>451</v>
      </c>
      <c r="AD178" s="27" t="s">
        <v>463</v>
      </c>
      <c r="AE178" s="27" t="s">
        <v>131</v>
      </c>
    </row>
    <row r="179" spans="1:35" s="80" customFormat="1">
      <c r="B179" s="80" t="s">
        <v>98</v>
      </c>
      <c r="C179" s="81">
        <v>509</v>
      </c>
      <c r="D179" s="81">
        <v>639</v>
      </c>
      <c r="E179" s="81">
        <v>576</v>
      </c>
      <c r="F179" s="81">
        <v>463</v>
      </c>
      <c r="G179" s="81">
        <v>500</v>
      </c>
      <c r="H179" s="81">
        <v>713</v>
      </c>
      <c r="I179" s="80">
        <v>739</v>
      </c>
      <c r="J179" s="80">
        <v>696</v>
      </c>
      <c r="K179" s="80">
        <v>690</v>
      </c>
      <c r="L179" s="80">
        <v>692</v>
      </c>
      <c r="M179" s="80">
        <v>656</v>
      </c>
      <c r="N179" s="80">
        <v>657</v>
      </c>
      <c r="O179" s="80">
        <v>682</v>
      </c>
      <c r="P179" s="80">
        <v>696</v>
      </c>
      <c r="Q179" s="80">
        <v>716</v>
      </c>
      <c r="R179" s="80">
        <v>660</v>
      </c>
      <c r="S179" s="80">
        <v>640</v>
      </c>
      <c r="T179" s="80">
        <v>658</v>
      </c>
      <c r="U179" s="80">
        <v>687</v>
      </c>
      <c r="V179" s="80">
        <v>757</v>
      </c>
      <c r="W179" s="80">
        <v>788</v>
      </c>
      <c r="X179" s="80">
        <v>616</v>
      </c>
      <c r="Y179" s="80">
        <v>752</v>
      </c>
      <c r="Z179" s="80">
        <v>794</v>
      </c>
      <c r="AA179" s="80">
        <v>787</v>
      </c>
      <c r="AB179" s="80">
        <v>827</v>
      </c>
      <c r="AC179" s="80">
        <v>881</v>
      </c>
      <c r="AD179" s="80">
        <v>855</v>
      </c>
      <c r="AE179" s="80">
        <v>927</v>
      </c>
    </row>
    <row r="180" spans="1:35" s="80" customFormat="1">
      <c r="B180" s="80" t="s">
        <v>99</v>
      </c>
      <c r="C180" s="81">
        <v>1686</v>
      </c>
      <c r="D180" s="81">
        <v>2033</v>
      </c>
      <c r="E180" s="81">
        <v>1966</v>
      </c>
      <c r="F180" s="81">
        <v>1831</v>
      </c>
      <c r="G180" s="81">
        <v>1718</v>
      </c>
      <c r="H180" s="81">
        <v>2027</v>
      </c>
      <c r="I180" s="80">
        <v>2216</v>
      </c>
      <c r="J180" s="80">
        <v>2039</v>
      </c>
      <c r="K180" s="80">
        <v>1943</v>
      </c>
      <c r="L180" s="80">
        <v>1963</v>
      </c>
      <c r="M180" s="80">
        <v>1948</v>
      </c>
      <c r="N180" s="80">
        <v>1953</v>
      </c>
      <c r="O180" s="80">
        <v>1987</v>
      </c>
      <c r="P180" s="80">
        <v>1920</v>
      </c>
      <c r="Q180" s="80">
        <v>1922</v>
      </c>
      <c r="R180" s="80">
        <v>1949</v>
      </c>
      <c r="S180" s="80">
        <v>1928</v>
      </c>
      <c r="T180" s="80">
        <v>1917</v>
      </c>
      <c r="U180" s="80">
        <v>1913</v>
      </c>
      <c r="V180" s="80">
        <v>1951</v>
      </c>
      <c r="W180" s="80">
        <v>1966</v>
      </c>
      <c r="X180" s="80">
        <v>1983</v>
      </c>
      <c r="Y180" s="80">
        <v>1943</v>
      </c>
      <c r="Z180" s="80">
        <v>1922</v>
      </c>
      <c r="AA180" s="80">
        <v>1964</v>
      </c>
      <c r="AB180" s="80">
        <v>2005</v>
      </c>
      <c r="AC180" s="80">
        <v>2023</v>
      </c>
      <c r="AD180" s="80">
        <v>2092</v>
      </c>
      <c r="AE180" s="80">
        <v>2144</v>
      </c>
    </row>
    <row r="181" spans="1:35" s="80" customFormat="1">
      <c r="B181" s="80" t="s">
        <v>100</v>
      </c>
      <c r="C181" s="81">
        <v>1178</v>
      </c>
      <c r="D181" s="81">
        <v>1394</v>
      </c>
      <c r="E181" s="81">
        <v>1390</v>
      </c>
      <c r="F181" s="81">
        <v>1368</v>
      </c>
      <c r="G181" s="81">
        <v>1218</v>
      </c>
      <c r="H181" s="81">
        <v>1314</v>
      </c>
      <c r="I181" s="80">
        <v>1477</v>
      </c>
      <c r="J181" s="80">
        <v>1343</v>
      </c>
      <c r="K181" s="80">
        <v>1244</v>
      </c>
      <c r="L181" s="80">
        <v>1273</v>
      </c>
      <c r="M181" s="80">
        <v>1267</v>
      </c>
      <c r="N181" s="80">
        <v>1281</v>
      </c>
      <c r="O181" s="80">
        <v>1291</v>
      </c>
      <c r="P181" s="80">
        <v>1207</v>
      </c>
      <c r="Q181" s="80">
        <v>1191</v>
      </c>
      <c r="R181" s="80">
        <v>1273</v>
      </c>
      <c r="S181" s="80">
        <v>1276</v>
      </c>
      <c r="T181" s="80">
        <v>1257</v>
      </c>
      <c r="U181" s="80">
        <v>1221</v>
      </c>
      <c r="V181" s="80">
        <v>1196</v>
      </c>
      <c r="W181" s="80">
        <v>1183</v>
      </c>
      <c r="X181" s="80">
        <v>1363</v>
      </c>
      <c r="Y181" s="80">
        <v>1192</v>
      </c>
      <c r="Z181" s="80">
        <v>1140</v>
      </c>
      <c r="AA181" s="80">
        <v>1181</v>
      </c>
      <c r="AB181" s="80">
        <v>1175</v>
      </c>
      <c r="AC181" s="80">
        <v>1144</v>
      </c>
      <c r="AD181" s="80">
        <v>1248</v>
      </c>
      <c r="AE181" s="80">
        <v>1238</v>
      </c>
    </row>
    <row r="182" spans="1:35" s="23" customFormat="1" ht="20.25">
      <c r="B182" s="82" t="s">
        <v>193</v>
      </c>
      <c r="AG182" s="64"/>
      <c r="AH182" s="64"/>
      <c r="AI182" s="64"/>
    </row>
    <row r="183" spans="1:35" ht="20.25">
      <c r="B183" s="20" t="s">
        <v>477</v>
      </c>
      <c r="J183" s="23"/>
      <c r="K183" s="23"/>
      <c r="L183" s="23"/>
      <c r="M183" s="23"/>
      <c r="N183" s="23"/>
      <c r="O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5">
      <c r="J184" s="23"/>
      <c r="K184" s="23"/>
      <c r="L184" s="23"/>
      <c r="M184" s="23"/>
      <c r="N184" s="23"/>
      <c r="O184" s="23"/>
    </row>
    <row r="185" spans="1:35" ht="17.25" customHeight="1">
      <c r="B185" s="135" t="s">
        <v>139</v>
      </c>
      <c r="C185" s="135"/>
      <c r="D185" s="140" t="s">
        <v>291</v>
      </c>
      <c r="E185" s="141"/>
      <c r="F185" s="141"/>
      <c r="G185" s="141"/>
      <c r="H185" s="141"/>
      <c r="I185" s="141"/>
      <c r="J185" s="141"/>
      <c r="K185" s="141"/>
      <c r="L185" s="142"/>
      <c r="M185" s="140" t="s">
        <v>243</v>
      </c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2"/>
      <c r="Y185" s="140" t="s">
        <v>361</v>
      </c>
      <c r="Z185" s="141"/>
      <c r="AA185" s="141"/>
      <c r="AB185" s="141"/>
      <c r="AC185" s="141"/>
      <c r="AD185" s="141"/>
      <c r="AE185" s="141"/>
      <c r="AF185" s="142"/>
    </row>
    <row r="186" spans="1:35" ht="16.5" customHeight="1">
      <c r="B186" s="135"/>
      <c r="C186" s="135"/>
      <c r="D186" s="136" t="s">
        <v>5</v>
      </c>
      <c r="E186" s="136" t="s">
        <v>6</v>
      </c>
      <c r="F186" s="136" t="s">
        <v>292</v>
      </c>
      <c r="G186" s="135" t="s">
        <v>8</v>
      </c>
      <c r="H186" s="143" t="s">
        <v>293</v>
      </c>
      <c r="I186" s="149" t="s">
        <v>294</v>
      </c>
      <c r="J186" s="154" t="s">
        <v>284</v>
      </c>
      <c r="K186" s="158" t="s">
        <v>285</v>
      </c>
      <c r="L186" s="152" t="s">
        <v>362</v>
      </c>
      <c r="M186" s="139" t="s">
        <v>111</v>
      </c>
      <c r="N186" s="139" t="s">
        <v>256</v>
      </c>
      <c r="O186" s="139" t="s">
        <v>261</v>
      </c>
      <c r="P186" s="139" t="s">
        <v>267</v>
      </c>
      <c r="Q186" s="139" t="s">
        <v>269</v>
      </c>
      <c r="R186" s="139" t="s">
        <v>309</v>
      </c>
      <c r="S186" s="139" t="s">
        <v>315</v>
      </c>
      <c r="T186" s="139" t="s">
        <v>239</v>
      </c>
      <c r="U186" s="139" t="s">
        <v>324</v>
      </c>
      <c r="V186" s="139" t="s">
        <v>327</v>
      </c>
      <c r="W186" s="139" t="s">
        <v>335</v>
      </c>
      <c r="X186" s="139" t="s">
        <v>343</v>
      </c>
      <c r="Y186" s="125" t="s">
        <v>360</v>
      </c>
      <c r="Z186" s="139" t="s">
        <v>111</v>
      </c>
      <c r="AA186" s="139" t="s">
        <v>406</v>
      </c>
      <c r="AB186" s="139" t="s">
        <v>420</v>
      </c>
      <c r="AC186" s="139" t="s">
        <v>437</v>
      </c>
      <c r="AD186" s="139" t="s">
        <v>454</v>
      </c>
      <c r="AE186" s="139" t="s">
        <v>459</v>
      </c>
      <c r="AF186" s="139" t="s">
        <v>131</v>
      </c>
    </row>
    <row r="187" spans="1:35" ht="16.5" customHeight="1">
      <c r="B187" s="135"/>
      <c r="C187" s="135"/>
      <c r="D187" s="136"/>
      <c r="E187" s="136"/>
      <c r="F187" s="136"/>
      <c r="G187" s="136"/>
      <c r="H187" s="144"/>
      <c r="I187" s="150"/>
      <c r="J187" s="154"/>
      <c r="K187" s="154"/>
      <c r="L187" s="153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24" t="s">
        <v>187</v>
      </c>
      <c r="Z187" s="138"/>
      <c r="AA187" s="138"/>
      <c r="AB187" s="138"/>
      <c r="AC187" s="138"/>
      <c r="AD187" s="138"/>
      <c r="AE187" s="138"/>
      <c r="AF187" s="138"/>
    </row>
    <row r="188" spans="1:35" ht="26.25" customHeight="1">
      <c r="A188" s="67"/>
      <c r="B188" s="148" t="s">
        <v>146</v>
      </c>
      <c r="C188" s="148"/>
      <c r="D188" s="15">
        <v>964</v>
      </c>
      <c r="E188" s="15">
        <v>1478</v>
      </c>
      <c r="F188" s="15">
        <v>1349</v>
      </c>
      <c r="G188" s="15">
        <v>1121</v>
      </c>
      <c r="H188" s="15">
        <v>990</v>
      </c>
      <c r="I188" s="15">
        <v>1710</v>
      </c>
      <c r="J188" s="15">
        <v>1599</v>
      </c>
      <c r="K188" s="15">
        <v>1452</v>
      </c>
      <c r="L188" s="15">
        <v>1329</v>
      </c>
      <c r="M188" s="119">
        <v>1497</v>
      </c>
      <c r="N188" s="119">
        <v>1425</v>
      </c>
      <c r="O188" s="119">
        <v>1447</v>
      </c>
      <c r="P188" s="119">
        <v>1351</v>
      </c>
      <c r="Q188" s="119">
        <v>1278</v>
      </c>
      <c r="R188" s="119">
        <v>1216</v>
      </c>
      <c r="S188" s="119">
        <v>1261</v>
      </c>
      <c r="T188" s="119">
        <v>1234.8880866046734</v>
      </c>
      <c r="U188" s="119">
        <v>1121.7314041591694</v>
      </c>
      <c r="V188" s="119">
        <v>1181.6664338097451</v>
      </c>
      <c r="W188" s="119">
        <v>1447.6561426568132</v>
      </c>
      <c r="X188" s="119">
        <v>1442.451146858738</v>
      </c>
      <c r="Y188" s="15">
        <v>1460</v>
      </c>
      <c r="Z188" s="119">
        <v>1420</v>
      </c>
      <c r="AA188" s="119">
        <v>1416.1595925389265</v>
      </c>
      <c r="AB188" s="119">
        <v>1550</v>
      </c>
      <c r="AC188" s="119">
        <v>1461.1932850979128</v>
      </c>
      <c r="AD188" s="119">
        <v>1500.8818327021136</v>
      </c>
      <c r="AE188" s="119">
        <v>1641</v>
      </c>
      <c r="AF188" s="119">
        <v>1712.4343887313244</v>
      </c>
    </row>
    <row r="189" spans="1:35" ht="26.25">
      <c r="A189" s="67"/>
      <c r="B189" s="148" t="s">
        <v>147</v>
      </c>
      <c r="C189" s="148"/>
      <c r="D189" s="15">
        <v>829</v>
      </c>
      <c r="E189" s="15">
        <v>1156</v>
      </c>
      <c r="F189" s="15">
        <v>1220</v>
      </c>
      <c r="G189" s="15">
        <v>1060</v>
      </c>
      <c r="H189" s="15">
        <v>860</v>
      </c>
      <c r="I189" s="15">
        <v>1789</v>
      </c>
      <c r="J189" s="15">
        <v>1694</v>
      </c>
      <c r="K189" s="15">
        <v>1484</v>
      </c>
      <c r="L189" s="15">
        <v>1163</v>
      </c>
      <c r="M189" s="119">
        <v>1175</v>
      </c>
      <c r="N189" s="119">
        <v>1350</v>
      </c>
      <c r="O189" s="119">
        <v>1233</v>
      </c>
      <c r="P189" s="119">
        <v>1285</v>
      </c>
      <c r="Q189" s="119">
        <v>961</v>
      </c>
      <c r="R189" s="119">
        <v>843</v>
      </c>
      <c r="S189" s="119">
        <v>868</v>
      </c>
      <c r="T189" s="119">
        <v>987.2609511229565</v>
      </c>
      <c r="U189" s="119">
        <v>1103.0888393848227</v>
      </c>
      <c r="V189" s="119">
        <v>1230.1284884516847</v>
      </c>
      <c r="W189" s="119">
        <v>1627.7972954891368</v>
      </c>
      <c r="X189" s="119">
        <v>1426.1038487454912</v>
      </c>
      <c r="Y189" s="15">
        <v>1539</v>
      </c>
      <c r="Z189" s="119">
        <v>1533</v>
      </c>
      <c r="AA189" s="119">
        <v>2127.1092550659187</v>
      </c>
      <c r="AB189" s="119">
        <v>2082</v>
      </c>
      <c r="AC189" s="119">
        <v>1215.7924746423</v>
      </c>
      <c r="AD189" s="119">
        <v>2243.3443770113827</v>
      </c>
      <c r="AE189" s="119">
        <v>1855</v>
      </c>
      <c r="AF189" s="119">
        <v>2538.3754952295899</v>
      </c>
    </row>
    <row r="190" spans="1:35" ht="26.25" customHeight="1">
      <c r="A190" s="67"/>
      <c r="B190" s="159" t="s">
        <v>144</v>
      </c>
      <c r="C190" s="160"/>
      <c r="D190" s="66">
        <v>963</v>
      </c>
      <c r="E190" s="66">
        <v>1477</v>
      </c>
      <c r="F190" s="66">
        <v>1348</v>
      </c>
      <c r="G190" s="66">
        <v>1120</v>
      </c>
      <c r="H190" s="66">
        <v>1019</v>
      </c>
      <c r="I190" s="66">
        <v>1761</v>
      </c>
      <c r="J190" s="66">
        <v>1595</v>
      </c>
      <c r="K190" s="66">
        <v>1455</v>
      </c>
      <c r="L190" s="66">
        <v>1329</v>
      </c>
      <c r="M190" s="120">
        <v>1491</v>
      </c>
      <c r="N190" s="120">
        <v>1428</v>
      </c>
      <c r="O190" s="120">
        <v>1442</v>
      </c>
      <c r="P190" s="120">
        <v>1350</v>
      </c>
      <c r="Q190" s="120">
        <v>1277</v>
      </c>
      <c r="R190" s="120">
        <v>1214</v>
      </c>
      <c r="S190" s="120">
        <v>1262</v>
      </c>
      <c r="T190" s="120">
        <v>1231</v>
      </c>
      <c r="U190" s="120">
        <v>1126</v>
      </c>
      <c r="V190" s="120">
        <v>1185</v>
      </c>
      <c r="W190" s="120">
        <v>1454</v>
      </c>
      <c r="X190" s="120">
        <v>1444</v>
      </c>
      <c r="Y190" s="66">
        <v>1461</v>
      </c>
      <c r="Z190" s="120">
        <v>1426</v>
      </c>
      <c r="AA190" s="120">
        <v>1442</v>
      </c>
      <c r="AB190" s="120">
        <v>1561</v>
      </c>
      <c r="AC190" s="120">
        <v>1457</v>
      </c>
      <c r="AD190" s="120">
        <v>1534</v>
      </c>
      <c r="AE190" s="120">
        <v>1654</v>
      </c>
      <c r="AF190" s="120">
        <v>1748</v>
      </c>
    </row>
    <row r="191" spans="1:35">
      <c r="J191" s="81"/>
      <c r="K191" s="81"/>
      <c r="L191" s="81"/>
      <c r="M191" s="81"/>
      <c r="N191" s="81"/>
      <c r="O191" s="81"/>
    </row>
    <row r="192" spans="1:35">
      <c r="J192" s="81"/>
      <c r="K192" s="81"/>
      <c r="L192" s="81"/>
      <c r="M192" s="81"/>
      <c r="N192" s="81"/>
      <c r="O192" s="81"/>
    </row>
    <row r="193" spans="1:33">
      <c r="J193" s="81"/>
      <c r="K193" s="81"/>
      <c r="L193" s="81"/>
      <c r="M193" s="81"/>
      <c r="N193" s="81"/>
      <c r="O193" s="81"/>
    </row>
    <row r="194" spans="1:33">
      <c r="J194" s="81"/>
      <c r="K194" s="81"/>
      <c r="L194" s="81"/>
      <c r="M194" s="81"/>
      <c r="N194" s="81"/>
      <c r="O194" s="81"/>
    </row>
    <row r="195" spans="1:33">
      <c r="J195" s="81"/>
      <c r="K195" s="81"/>
      <c r="L195" s="81"/>
      <c r="M195" s="81"/>
      <c r="N195" s="81"/>
      <c r="O195" s="81"/>
    </row>
    <row r="196" spans="1:33">
      <c r="J196" s="81"/>
      <c r="K196" s="81"/>
      <c r="L196" s="81"/>
      <c r="M196" s="81"/>
      <c r="N196" s="81"/>
      <c r="O196" s="81"/>
    </row>
    <row r="197" spans="1:33">
      <c r="J197" s="81"/>
      <c r="K197" s="81"/>
      <c r="L197" s="81"/>
      <c r="M197" s="81"/>
      <c r="N197" s="81"/>
      <c r="O197" s="81"/>
    </row>
    <row r="198" spans="1:33">
      <c r="J198" s="81"/>
      <c r="K198" s="81"/>
      <c r="L198" s="81"/>
      <c r="M198" s="81"/>
      <c r="N198" s="81"/>
      <c r="O198" s="81"/>
    </row>
    <row r="199" spans="1:33">
      <c r="J199" s="81"/>
      <c r="K199" s="81"/>
      <c r="L199" s="81"/>
      <c r="M199" s="81"/>
      <c r="N199" s="81"/>
      <c r="O199" s="81"/>
    </row>
    <row r="200" spans="1:33">
      <c r="J200" s="81"/>
      <c r="K200" s="81"/>
      <c r="L200" s="81"/>
      <c r="M200" s="81"/>
      <c r="N200" s="81"/>
      <c r="O200" s="81"/>
    </row>
    <row r="201" spans="1:33">
      <c r="J201" s="81"/>
      <c r="K201" s="81"/>
      <c r="L201" s="81"/>
      <c r="M201" s="81"/>
      <c r="N201" s="81"/>
      <c r="O201" s="81"/>
    </row>
    <row r="202" spans="1:33">
      <c r="A202" s="21"/>
      <c r="B202" s="21"/>
      <c r="C202" s="21"/>
      <c r="D202" s="21"/>
      <c r="E202" s="21"/>
      <c r="F202" s="21"/>
      <c r="G202" s="21"/>
      <c r="H202" s="21"/>
      <c r="I202" s="21"/>
      <c r="J202" s="81"/>
      <c r="K202" s="81"/>
      <c r="L202" s="81"/>
      <c r="M202" s="81"/>
      <c r="N202" s="81"/>
      <c r="O202" s="8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1:33">
      <c r="A203" s="21"/>
      <c r="B203" s="21"/>
      <c r="C203" s="21"/>
      <c r="D203" s="21"/>
      <c r="E203" s="21"/>
      <c r="F203" s="21"/>
      <c r="G203" s="21"/>
      <c r="H203" s="21"/>
      <c r="I203" s="21"/>
      <c r="J203" s="81"/>
      <c r="K203" s="81"/>
      <c r="L203" s="81"/>
      <c r="M203" s="81"/>
      <c r="N203" s="81"/>
      <c r="O203" s="8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1:33">
      <c r="A204" s="21"/>
      <c r="B204" s="21"/>
      <c r="C204" s="21"/>
      <c r="D204" s="21"/>
      <c r="E204" s="21"/>
      <c r="F204" s="21"/>
      <c r="G204" s="21"/>
      <c r="H204" s="21"/>
      <c r="I204" s="21"/>
      <c r="J204" s="81"/>
      <c r="K204" s="81"/>
      <c r="L204" s="81"/>
      <c r="M204" s="81"/>
      <c r="N204" s="81"/>
      <c r="O204" s="8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1:33">
      <c r="A205" s="21"/>
      <c r="B205" s="21"/>
      <c r="C205" s="21"/>
      <c r="D205" s="21"/>
      <c r="E205" s="21"/>
      <c r="F205" s="21"/>
      <c r="G205" s="21"/>
      <c r="H205" s="21"/>
      <c r="I205" s="21"/>
      <c r="J205" s="81"/>
      <c r="K205" s="81"/>
      <c r="L205" s="81"/>
      <c r="M205" s="81"/>
      <c r="N205" s="81"/>
      <c r="O205" s="8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1:33">
      <c r="A206" s="21"/>
      <c r="B206" s="21"/>
      <c r="C206" s="21"/>
      <c r="D206" s="21"/>
      <c r="E206" s="21"/>
      <c r="F206" s="21"/>
      <c r="G206" s="21"/>
      <c r="H206" s="21"/>
      <c r="I206" s="21"/>
      <c r="J206" s="81"/>
      <c r="K206" s="81"/>
      <c r="L206" s="81"/>
      <c r="M206" s="81"/>
      <c r="N206" s="81"/>
      <c r="O206" s="8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1:33">
      <c r="A207" s="21"/>
      <c r="B207" s="21"/>
      <c r="C207" s="21"/>
      <c r="D207" s="21"/>
      <c r="E207" s="21"/>
      <c r="F207" s="21"/>
      <c r="G207" s="21"/>
      <c r="H207" s="21"/>
      <c r="I207" s="21"/>
      <c r="J207" s="81"/>
      <c r="K207" s="81"/>
      <c r="L207" s="81"/>
      <c r="M207" s="81"/>
      <c r="N207" s="81"/>
      <c r="O207" s="8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1:33">
      <c r="A208" s="21"/>
      <c r="B208" s="21"/>
      <c r="C208" s="21"/>
      <c r="D208" s="21"/>
      <c r="E208" s="21"/>
      <c r="F208" s="21"/>
      <c r="G208" s="21"/>
      <c r="H208" s="21"/>
      <c r="I208" s="21"/>
      <c r="J208" s="81"/>
      <c r="K208" s="81"/>
      <c r="L208" s="81"/>
      <c r="M208" s="81"/>
      <c r="N208" s="81"/>
      <c r="O208" s="8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spans="1:34" s="69" customFormat="1">
      <c r="A209" s="21"/>
      <c r="B209" s="21"/>
      <c r="C209" s="21"/>
      <c r="D209" s="21"/>
      <c r="E209" s="21"/>
      <c r="F209" s="21"/>
      <c r="G209" s="21"/>
      <c r="H209" s="21"/>
      <c r="I209" s="21"/>
      <c r="J209" s="81"/>
      <c r="K209" s="81"/>
      <c r="L209" s="81"/>
      <c r="M209" s="81"/>
      <c r="N209" s="81"/>
      <c r="O209" s="8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spans="1:34" s="69" customFormat="1">
      <c r="A210" s="21"/>
      <c r="B210" s="21"/>
      <c r="C210" s="21"/>
      <c r="D210" s="21"/>
      <c r="E210" s="21"/>
      <c r="F210" s="21"/>
      <c r="G210" s="21"/>
      <c r="H210" s="21"/>
      <c r="I210" s="21"/>
      <c r="J210" s="81"/>
      <c r="K210" s="81"/>
      <c r="L210" s="81"/>
      <c r="M210" s="81"/>
      <c r="N210" s="81"/>
      <c r="O210" s="8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spans="1:34" s="69" customFormat="1">
      <c r="A211" s="21"/>
      <c r="B211" s="21"/>
      <c r="C211" s="21"/>
      <c r="D211" s="21"/>
      <c r="E211" s="21"/>
      <c r="F211" s="21"/>
      <c r="G211" s="21"/>
      <c r="H211" s="21"/>
      <c r="I211" s="21"/>
      <c r="J211" s="81"/>
      <c r="K211" s="81"/>
      <c r="L211" s="81"/>
      <c r="M211" s="81"/>
      <c r="N211" s="81"/>
      <c r="O211" s="8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AE211" s="21"/>
      <c r="AF211" s="21"/>
      <c r="AG211" s="21"/>
    </row>
    <row r="212" spans="1:34" s="69" customFormat="1">
      <c r="J212" s="127"/>
      <c r="K212" s="127"/>
      <c r="L212" s="127"/>
      <c r="M212" s="127"/>
      <c r="N212" s="127"/>
      <c r="O212" s="127"/>
      <c r="AC212" s="64"/>
      <c r="AD212" s="64"/>
      <c r="AE212" s="64"/>
      <c r="AF212" s="64"/>
    </row>
    <row r="213" spans="1:34" s="64" customFormat="1">
      <c r="A213" s="21"/>
      <c r="B213" s="21" t="s">
        <v>189</v>
      </c>
      <c r="C213" s="64" t="s">
        <v>92</v>
      </c>
      <c r="D213" s="64" t="s">
        <v>93</v>
      </c>
      <c r="E213" s="64" t="s">
        <v>122</v>
      </c>
      <c r="F213" s="64" t="s">
        <v>94</v>
      </c>
      <c r="G213" s="64" t="s">
        <v>91</v>
      </c>
      <c r="H213" s="64" t="s">
        <v>156</v>
      </c>
      <c r="I213" s="83" t="s">
        <v>154</v>
      </c>
      <c r="J213" s="81" t="s">
        <v>371</v>
      </c>
      <c r="K213" s="80" t="s">
        <v>243</v>
      </c>
      <c r="L213" s="64" t="s">
        <v>245</v>
      </c>
      <c r="M213" s="64" t="s">
        <v>256</v>
      </c>
      <c r="N213" s="64" t="s">
        <v>257</v>
      </c>
      <c r="O213" s="64" t="s">
        <v>264</v>
      </c>
      <c r="P213" s="64" t="s">
        <v>273</v>
      </c>
      <c r="Q213" s="64" t="s">
        <v>306</v>
      </c>
      <c r="R213" s="64" t="s">
        <v>316</v>
      </c>
      <c r="S213" s="64" t="s">
        <v>318</v>
      </c>
      <c r="T213" s="64" t="s">
        <v>325</v>
      </c>
      <c r="U213" s="64" t="s">
        <v>331</v>
      </c>
      <c r="V213" s="64" t="s">
        <v>336</v>
      </c>
      <c r="W213" s="64" t="s">
        <v>340</v>
      </c>
      <c r="X213" s="27" t="s">
        <v>358</v>
      </c>
      <c r="Y213" s="27" t="s">
        <v>359</v>
      </c>
      <c r="Z213" s="21" t="s">
        <v>410</v>
      </c>
      <c r="AA213" s="21" t="s">
        <v>422</v>
      </c>
      <c r="AB213" s="21" t="s">
        <v>438</v>
      </c>
      <c r="AC213" s="64" t="s">
        <v>455</v>
      </c>
      <c r="AD213" s="64" t="s">
        <v>465</v>
      </c>
      <c r="AE213" s="64" t="s">
        <v>131</v>
      </c>
    </row>
    <row r="214" spans="1:34" s="27" customFormat="1">
      <c r="B214" s="27" t="s">
        <v>98</v>
      </c>
      <c r="C214" s="81">
        <v>503</v>
      </c>
      <c r="D214" s="81">
        <v>622</v>
      </c>
      <c r="E214" s="81">
        <v>558</v>
      </c>
      <c r="F214" s="81">
        <v>436</v>
      </c>
      <c r="G214" s="81">
        <v>486</v>
      </c>
      <c r="H214" s="81">
        <v>666</v>
      </c>
      <c r="I214" s="81">
        <v>676</v>
      </c>
      <c r="J214" s="81">
        <v>631</v>
      </c>
      <c r="K214" s="81">
        <v>555</v>
      </c>
      <c r="L214" s="27">
        <v>622</v>
      </c>
      <c r="M214" s="27">
        <v>570</v>
      </c>
      <c r="N214" s="27">
        <v>566</v>
      </c>
      <c r="O214" s="27">
        <v>561</v>
      </c>
      <c r="P214" s="27">
        <v>569</v>
      </c>
      <c r="Q214" s="27">
        <v>563</v>
      </c>
      <c r="R214" s="27">
        <v>547</v>
      </c>
      <c r="S214" s="27">
        <v>537</v>
      </c>
      <c r="T214" s="27">
        <v>524</v>
      </c>
      <c r="U214" s="27">
        <v>523</v>
      </c>
      <c r="V214" s="27">
        <v>531</v>
      </c>
      <c r="W214" s="27">
        <v>545</v>
      </c>
      <c r="X214" s="27">
        <v>511</v>
      </c>
      <c r="Y214" s="27">
        <v>566</v>
      </c>
      <c r="Z214" s="27">
        <v>571</v>
      </c>
      <c r="AA214" s="27">
        <v>581</v>
      </c>
      <c r="AB214" s="27">
        <v>591</v>
      </c>
      <c r="AC214" s="27">
        <v>609</v>
      </c>
      <c r="AD214" s="27">
        <v>612</v>
      </c>
      <c r="AE214" s="27">
        <v>644</v>
      </c>
    </row>
    <row r="215" spans="1:34" s="27" customFormat="1">
      <c r="B215" s="27" t="s">
        <v>99</v>
      </c>
      <c r="C215" s="81">
        <v>963</v>
      </c>
      <c r="D215" s="81">
        <v>2099</v>
      </c>
      <c r="E215" s="81">
        <v>1906</v>
      </c>
      <c r="F215" s="81">
        <v>1556</v>
      </c>
      <c r="G215" s="81">
        <v>1505</v>
      </c>
      <c r="H215" s="81">
        <v>2427</v>
      </c>
      <c r="I215" s="81">
        <v>2271</v>
      </c>
      <c r="J215" s="81">
        <v>2086</v>
      </c>
      <c r="K215" s="81">
        <v>1912</v>
      </c>
      <c r="L215" s="27">
        <v>2112</v>
      </c>
      <c r="M215" s="27">
        <v>2034</v>
      </c>
      <c r="N215" s="27">
        <v>2041</v>
      </c>
      <c r="O215" s="27">
        <v>1946</v>
      </c>
      <c r="P215" s="27">
        <v>1877</v>
      </c>
      <c r="Q215" s="27">
        <v>1808</v>
      </c>
      <c r="R215" s="27">
        <v>1839</v>
      </c>
      <c r="S215" s="27">
        <v>1797</v>
      </c>
      <c r="T215" s="27">
        <v>1679</v>
      </c>
      <c r="U215" s="27">
        <v>1740</v>
      </c>
      <c r="V215" s="27">
        <v>2015</v>
      </c>
      <c r="W215" s="27">
        <v>2013</v>
      </c>
      <c r="X215" s="27">
        <v>2005</v>
      </c>
      <c r="Y215" s="27">
        <v>1987</v>
      </c>
      <c r="Z215" s="27">
        <v>2007</v>
      </c>
      <c r="AA215" s="27">
        <v>2139</v>
      </c>
      <c r="AB215" s="27">
        <v>2041</v>
      </c>
      <c r="AC215" s="27">
        <v>2138</v>
      </c>
      <c r="AD215" s="27">
        <v>2265</v>
      </c>
      <c r="AE215" s="27">
        <v>2386</v>
      </c>
    </row>
    <row r="216" spans="1:34" s="27" customFormat="1">
      <c r="B216" s="27" t="s">
        <v>100</v>
      </c>
      <c r="C216" s="81">
        <v>1467</v>
      </c>
      <c r="D216" s="81">
        <v>1477</v>
      </c>
      <c r="E216" s="81">
        <v>1348</v>
      </c>
      <c r="F216" s="81">
        <v>1120</v>
      </c>
      <c r="G216" s="81">
        <v>1019</v>
      </c>
      <c r="H216" s="81">
        <v>1761</v>
      </c>
      <c r="I216" s="81">
        <v>1595</v>
      </c>
      <c r="J216" s="81">
        <v>1455</v>
      </c>
      <c r="K216" s="81">
        <v>1329</v>
      </c>
      <c r="L216" s="27">
        <v>1491</v>
      </c>
      <c r="M216" s="27">
        <v>1428</v>
      </c>
      <c r="N216" s="27">
        <v>1442</v>
      </c>
      <c r="O216" s="27">
        <v>1350</v>
      </c>
      <c r="P216" s="27">
        <v>1277</v>
      </c>
      <c r="Q216" s="27">
        <v>1214</v>
      </c>
      <c r="R216" s="27">
        <v>1262</v>
      </c>
      <c r="S216" s="27">
        <v>1231</v>
      </c>
      <c r="T216" s="27">
        <v>1126</v>
      </c>
      <c r="U216" s="27">
        <v>1185</v>
      </c>
      <c r="V216" s="27">
        <v>1454</v>
      </c>
      <c r="W216" s="27">
        <v>1444</v>
      </c>
      <c r="X216" s="27">
        <v>1461</v>
      </c>
      <c r="Y216" s="27">
        <v>1426</v>
      </c>
      <c r="Z216" s="27">
        <v>1442</v>
      </c>
      <c r="AA216" s="27">
        <v>1561</v>
      </c>
      <c r="AB216" s="27">
        <v>1457</v>
      </c>
      <c r="AC216" s="27">
        <v>1534</v>
      </c>
      <c r="AD216" s="27">
        <v>1654</v>
      </c>
      <c r="AE216" s="27">
        <v>1748</v>
      </c>
    </row>
    <row r="217" spans="1:34" ht="41.25">
      <c r="B217" s="29" t="s">
        <v>204</v>
      </c>
      <c r="J217" s="81"/>
      <c r="K217" s="81"/>
      <c r="L217" s="81"/>
      <c r="M217" s="81"/>
      <c r="N217" s="81"/>
      <c r="O217" s="81"/>
      <c r="T217" s="64"/>
      <c r="U217" s="64"/>
      <c r="V217" s="64"/>
      <c r="W217" s="64"/>
      <c r="X217" s="23"/>
      <c r="Y217" s="23"/>
      <c r="Z217" s="64"/>
      <c r="AA217" s="64"/>
      <c r="AB217" s="23"/>
      <c r="AC217" s="64"/>
      <c r="AD217" s="64"/>
      <c r="AE217" s="64"/>
      <c r="AF217" s="64"/>
      <c r="AG217" s="64"/>
      <c r="AH217" s="64"/>
    </row>
    <row r="218" spans="1:34" ht="16.5" customHeight="1">
      <c r="B218" s="29"/>
      <c r="J218" s="81"/>
      <c r="K218" s="81"/>
      <c r="L218" s="81"/>
      <c r="M218" s="81"/>
      <c r="N218" s="81"/>
      <c r="O218" s="81"/>
    </row>
    <row r="219" spans="1:34" ht="20.25">
      <c r="B219" s="20" t="s">
        <v>202</v>
      </c>
      <c r="J219" s="81"/>
      <c r="K219" s="81"/>
      <c r="L219" s="81"/>
      <c r="M219" s="81"/>
      <c r="N219" s="81"/>
      <c r="O219" s="81"/>
    </row>
    <row r="220" spans="1:34" ht="20.25">
      <c r="B220" s="20" t="s">
        <v>478</v>
      </c>
      <c r="J220" s="81"/>
      <c r="K220" s="81"/>
      <c r="L220" s="81"/>
      <c r="M220" s="81"/>
      <c r="N220" s="81"/>
      <c r="O220" s="81"/>
    </row>
    <row r="221" spans="1:34">
      <c r="J221" s="81"/>
      <c r="K221" s="81"/>
      <c r="L221" s="81"/>
      <c r="M221" s="81"/>
      <c r="N221" s="81"/>
      <c r="O221" s="81"/>
    </row>
    <row r="222" spans="1:34" ht="17.25" customHeight="1">
      <c r="B222" s="135" t="s">
        <v>139</v>
      </c>
      <c r="C222" s="135"/>
      <c r="D222" s="155" t="s">
        <v>25</v>
      </c>
      <c r="E222" s="156"/>
      <c r="F222" s="156"/>
      <c r="G222" s="156"/>
      <c r="H222" s="156"/>
      <c r="I222" s="156"/>
      <c r="J222" s="156"/>
      <c r="K222" s="156"/>
      <c r="L222" s="157"/>
      <c r="M222" s="140" t="s">
        <v>243</v>
      </c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2"/>
      <c r="Y222" s="140" t="s">
        <v>361</v>
      </c>
      <c r="Z222" s="141"/>
      <c r="AA222" s="141"/>
      <c r="AB222" s="141"/>
      <c r="AC222" s="141"/>
      <c r="AD222" s="141"/>
      <c r="AE222" s="141"/>
      <c r="AF222" s="142"/>
    </row>
    <row r="223" spans="1:34" ht="16.5" customHeight="1">
      <c r="B223" s="135"/>
      <c r="C223" s="135"/>
      <c r="D223" s="154" t="s">
        <v>5</v>
      </c>
      <c r="E223" s="154" t="s">
        <v>6</v>
      </c>
      <c r="F223" s="154" t="s">
        <v>7</v>
      </c>
      <c r="G223" s="158" t="s">
        <v>295</v>
      </c>
      <c r="H223" s="149" t="s">
        <v>4</v>
      </c>
      <c r="I223" s="149" t="s">
        <v>156</v>
      </c>
      <c r="J223" s="154" t="s">
        <v>296</v>
      </c>
      <c r="K223" s="158" t="s">
        <v>297</v>
      </c>
      <c r="L223" s="154" t="s">
        <v>345</v>
      </c>
      <c r="M223" s="137" t="s">
        <v>111</v>
      </c>
      <c r="N223" s="137" t="s">
        <v>15</v>
      </c>
      <c r="O223" s="137" t="s">
        <v>262</v>
      </c>
      <c r="P223" s="137" t="s">
        <v>263</v>
      </c>
      <c r="Q223" s="137" t="s" ph="1">
        <v>214</v>
      </c>
      <c r="R223" s="137" t="s">
        <v>310</v>
      </c>
      <c r="S223" s="137" t="s">
        <v>315</v>
      </c>
      <c r="T223" s="137" t="s">
        <v>319</v>
      </c>
      <c r="U223" s="137" t="s">
        <v>324</v>
      </c>
      <c r="V223" s="137" t="s">
        <v>332</v>
      </c>
      <c r="W223" s="137" t="s">
        <v>338</v>
      </c>
      <c r="X223" s="137" t="s">
        <v>344</v>
      </c>
      <c r="Y223" s="85" t="s">
        <v>367</v>
      </c>
      <c r="Z223" s="137" t="s">
        <v>111</v>
      </c>
      <c r="AA223" s="137" t="s">
        <v>11</v>
      </c>
      <c r="AB223" s="137" t="s">
        <v>429</v>
      </c>
      <c r="AC223" s="137" t="s">
        <v>439</v>
      </c>
      <c r="AD223" s="137" t="s">
        <v>456</v>
      </c>
      <c r="AE223" s="137" t="s">
        <v>466</v>
      </c>
      <c r="AF223" s="137" t="s">
        <v>131</v>
      </c>
    </row>
    <row r="224" spans="1:34" ht="16.5" customHeight="1">
      <c r="B224" s="135"/>
      <c r="C224" s="135"/>
      <c r="D224" s="154"/>
      <c r="E224" s="154"/>
      <c r="F224" s="154"/>
      <c r="G224" s="154"/>
      <c r="H224" s="150"/>
      <c r="I224" s="150"/>
      <c r="J224" s="154"/>
      <c r="K224" s="154"/>
      <c r="L224" s="154"/>
      <c r="M224" s="138"/>
      <c r="N224" s="138"/>
      <c r="O224" s="138"/>
      <c r="P224" s="138"/>
      <c r="Q224" s="138" ph="1"/>
      <c r="R224" s="138"/>
      <c r="S224" s="138"/>
      <c r="T224" s="138"/>
      <c r="U224" s="138"/>
      <c r="V224" s="138"/>
      <c r="W224" s="138"/>
      <c r="X224" s="138"/>
      <c r="Y224" s="124" t="s">
        <v>247</v>
      </c>
      <c r="Z224" s="138"/>
      <c r="AA224" s="138"/>
      <c r="AB224" s="138"/>
      <c r="AC224" s="138"/>
      <c r="AD224" s="138"/>
      <c r="AE224" s="138"/>
      <c r="AF224" s="138"/>
    </row>
    <row r="225" spans="2:32" ht="26.25" customHeight="1">
      <c r="B225" s="148" t="s">
        <v>147</v>
      </c>
      <c r="C225" s="148"/>
      <c r="D225" s="15"/>
      <c r="E225" s="15">
        <v>1248</v>
      </c>
      <c r="F225" s="15">
        <v>1393</v>
      </c>
      <c r="G225" s="15">
        <v>1129</v>
      </c>
      <c r="H225" s="15">
        <v>1019</v>
      </c>
      <c r="I225" s="15">
        <v>1072</v>
      </c>
      <c r="J225" s="15"/>
      <c r="K225" s="15"/>
      <c r="L225" s="15">
        <v>1109.1669187776638</v>
      </c>
      <c r="M225" s="119"/>
      <c r="N225" s="119">
        <v>1031.9321039537385</v>
      </c>
      <c r="O225" s="119">
        <v>1044.2452572765073</v>
      </c>
      <c r="P225" s="119">
        <v>1364.4714635854339</v>
      </c>
      <c r="Q225" s="119">
        <v>1387.678504579183</v>
      </c>
      <c r="R225" s="119">
        <v>1063</v>
      </c>
      <c r="S225" s="119">
        <v>1041</v>
      </c>
      <c r="T225" s="119">
        <v>1006</v>
      </c>
      <c r="U225" s="119"/>
      <c r="V225" s="119">
        <v>1047</v>
      </c>
      <c r="W225" s="119">
        <v>1051.3275982329692</v>
      </c>
      <c r="X225" s="119">
        <v>1060.8522410113283</v>
      </c>
      <c r="Y225" s="15"/>
      <c r="Z225" s="119">
        <v>1054.1768996960486</v>
      </c>
      <c r="AA225" s="119">
        <v>1062.8608454180812</v>
      </c>
      <c r="AB225" s="119">
        <v>1054.7396984924621</v>
      </c>
      <c r="AC225" s="119">
        <v>1151.0565052231718</v>
      </c>
      <c r="AD225" s="119"/>
      <c r="AE225" s="119"/>
      <c r="AF225" s="119">
        <v>1238.5421696069329</v>
      </c>
    </row>
    <row r="226" spans="2:32" ht="26.25">
      <c r="B226" s="148" t="s">
        <v>212</v>
      </c>
      <c r="C226" s="148"/>
      <c r="D226" s="15">
        <v>2360</v>
      </c>
      <c r="E226" s="15">
        <v>2224</v>
      </c>
      <c r="F226" s="15">
        <v>2213</v>
      </c>
      <c r="G226" s="15">
        <v>2138</v>
      </c>
      <c r="H226" s="15">
        <v>1945</v>
      </c>
      <c r="I226" s="15">
        <v>1960</v>
      </c>
      <c r="J226" s="15">
        <v>1981</v>
      </c>
      <c r="K226" s="15">
        <v>1918</v>
      </c>
      <c r="L226" s="15">
        <v>1857.7491896503334</v>
      </c>
      <c r="M226" s="119">
        <v>1744</v>
      </c>
      <c r="N226" s="119">
        <v>1876.7499307911814</v>
      </c>
      <c r="O226" s="119">
        <v>1883.4614807081775</v>
      </c>
      <c r="P226" s="119">
        <v>1899.1105773196225</v>
      </c>
      <c r="Q226" s="119">
        <v>1830.3295948251714</v>
      </c>
      <c r="R226" s="119">
        <v>1652</v>
      </c>
      <c r="S226" s="119">
        <v>1914</v>
      </c>
      <c r="T226" s="119">
        <v>1882</v>
      </c>
      <c r="U226" s="119">
        <v>1874</v>
      </c>
      <c r="V226" s="119">
        <v>1883.3645991308645</v>
      </c>
      <c r="W226" s="119">
        <v>1988.7869744388317</v>
      </c>
      <c r="X226" s="119">
        <v>1905.9244375130488</v>
      </c>
      <c r="Y226" s="15">
        <v>2080</v>
      </c>
      <c r="Z226" s="119">
        <v>1925.3131333109359</v>
      </c>
      <c r="AA226" s="119">
        <v>1862.0015595115497</v>
      </c>
      <c r="AB226" s="119">
        <v>1957.4743667491575</v>
      </c>
      <c r="AC226" s="119">
        <v>1900.9849163956244</v>
      </c>
      <c r="AD226" s="119">
        <v>1917.291177303156</v>
      </c>
      <c r="AE226" s="119">
        <v>2017.3825657830569</v>
      </c>
      <c r="AF226" s="119">
        <v>1950.9274693882687</v>
      </c>
    </row>
    <row r="227" spans="2:32" ht="26.25" customHeight="1">
      <c r="B227" s="135" t="s">
        <v>144</v>
      </c>
      <c r="C227" s="135"/>
      <c r="D227" s="66">
        <v>2360</v>
      </c>
      <c r="E227" s="66">
        <v>2218</v>
      </c>
      <c r="F227" s="66">
        <v>2159</v>
      </c>
      <c r="G227" s="66">
        <v>1142</v>
      </c>
      <c r="H227" s="66">
        <v>1123</v>
      </c>
      <c r="I227" s="66">
        <v>1131</v>
      </c>
      <c r="J227" s="66">
        <v>1274</v>
      </c>
      <c r="K227" s="66">
        <v>1273</v>
      </c>
      <c r="L227" s="66">
        <v>1264.3053288938481</v>
      </c>
      <c r="M227" s="120">
        <v>1220</v>
      </c>
      <c r="N227" s="120">
        <v>1214</v>
      </c>
      <c r="O227" s="120">
        <v>1187</v>
      </c>
      <c r="P227" s="120">
        <v>1211</v>
      </c>
      <c r="Q227" s="120">
        <v>1217</v>
      </c>
      <c r="R227" s="120">
        <v>1225</v>
      </c>
      <c r="S227" s="120">
        <v>1280</v>
      </c>
      <c r="T227" s="120">
        <v>1212</v>
      </c>
      <c r="U227" s="120">
        <v>1237</v>
      </c>
      <c r="V227" s="120">
        <v>1287.2168257099356</v>
      </c>
      <c r="W227" s="120">
        <v>1275.9322233731227</v>
      </c>
      <c r="X227" s="120">
        <v>1285</v>
      </c>
      <c r="Y227" s="66">
        <v>1442</v>
      </c>
      <c r="Z227" s="120">
        <v>1355.3464344015731</v>
      </c>
      <c r="AA227" s="120">
        <v>1304.1849635563158</v>
      </c>
      <c r="AB227" s="120">
        <v>1288.9963567004368</v>
      </c>
      <c r="AC227" s="120">
        <v>1271.2057282440653</v>
      </c>
      <c r="AD227" s="120">
        <v>1275.2984168847017</v>
      </c>
      <c r="AE227" s="120">
        <v>1358.2016357867005</v>
      </c>
      <c r="AF227" s="120">
        <v>1199.2886377326422</v>
      </c>
    </row>
    <row r="228" spans="2:32"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35" spans="2:32">
      <c r="J235" s="121"/>
      <c r="K235" s="121"/>
      <c r="L235" s="121"/>
      <c r="M235" s="121"/>
      <c r="N235" s="121"/>
      <c r="O235" s="121"/>
    </row>
    <row r="236" spans="2:32">
      <c r="J236" s="121"/>
      <c r="K236" s="121"/>
      <c r="L236" s="121"/>
      <c r="M236" s="121"/>
      <c r="N236" s="121"/>
      <c r="O236" s="121"/>
    </row>
    <row r="237" spans="2:32">
      <c r="J237" s="121"/>
      <c r="K237" s="121"/>
      <c r="L237" s="121"/>
      <c r="M237" s="121"/>
      <c r="N237" s="121"/>
      <c r="O237" s="121"/>
    </row>
    <row r="238" spans="2:32">
      <c r="J238" s="121"/>
      <c r="K238" s="121"/>
      <c r="L238" s="121"/>
      <c r="M238" s="121"/>
      <c r="N238" s="121"/>
      <c r="O238" s="121"/>
    </row>
    <row r="239" spans="2:32">
      <c r="J239" s="121"/>
      <c r="K239" s="121"/>
      <c r="L239" s="121"/>
      <c r="M239" s="121"/>
      <c r="N239" s="121"/>
      <c r="O239" s="121"/>
    </row>
    <row r="240" spans="2:32">
      <c r="J240" s="121"/>
      <c r="K240" s="121"/>
      <c r="L240" s="121"/>
      <c r="M240" s="121"/>
      <c r="N240" s="121"/>
      <c r="O240" s="121"/>
    </row>
    <row r="241" spans="2:34">
      <c r="J241" s="121"/>
      <c r="K241" s="121"/>
      <c r="L241" s="121"/>
      <c r="M241" s="121"/>
      <c r="N241" s="121"/>
      <c r="O241" s="121"/>
    </row>
    <row r="242" spans="2:34">
      <c r="J242" s="121"/>
      <c r="K242" s="121"/>
      <c r="L242" s="121"/>
      <c r="M242" s="121"/>
      <c r="N242" s="121"/>
      <c r="O242" s="121"/>
    </row>
    <row r="243" spans="2:34">
      <c r="J243" s="81"/>
      <c r="K243" s="81"/>
      <c r="L243" s="81"/>
      <c r="M243" s="81"/>
      <c r="N243" s="81"/>
      <c r="O243" s="81"/>
      <c r="P243" s="81"/>
      <c r="Q243" s="81"/>
      <c r="R243" s="81"/>
      <c r="S243" s="81"/>
    </row>
    <row r="244" spans="2:34">
      <c r="J244" s="81"/>
      <c r="K244" s="81"/>
      <c r="L244" s="81"/>
      <c r="M244" s="81"/>
      <c r="N244" s="81"/>
      <c r="O244" s="81"/>
      <c r="P244" s="81"/>
      <c r="Q244" s="81"/>
      <c r="R244" s="81"/>
      <c r="S244" s="81"/>
    </row>
    <row r="245" spans="2:34">
      <c r="J245" s="81"/>
      <c r="K245" s="81"/>
      <c r="L245" s="81"/>
      <c r="M245" s="81"/>
      <c r="N245" s="81"/>
      <c r="O245" s="81"/>
      <c r="P245" s="81"/>
      <c r="Q245" s="81"/>
      <c r="R245" s="81"/>
      <c r="S245" s="81"/>
    </row>
    <row r="246" spans="2:34">
      <c r="J246" s="81"/>
      <c r="K246" s="81"/>
      <c r="L246" s="81"/>
      <c r="M246" s="81"/>
      <c r="N246" s="81"/>
      <c r="O246" s="81"/>
      <c r="P246" s="81"/>
      <c r="Q246" s="81"/>
      <c r="R246" s="81"/>
      <c r="S246" s="81"/>
    </row>
    <row r="247" spans="2:34" s="69" customFormat="1">
      <c r="J247" s="81"/>
      <c r="K247" s="81"/>
      <c r="L247" s="81"/>
      <c r="M247" s="81"/>
      <c r="N247" s="81"/>
      <c r="O247" s="81"/>
      <c r="P247" s="81"/>
      <c r="Q247" s="81"/>
      <c r="R247" s="81"/>
      <c r="S247" s="81"/>
    </row>
    <row r="248" spans="2:34" s="78" customFormat="1">
      <c r="J248" s="81"/>
      <c r="K248" s="81"/>
      <c r="L248" s="81"/>
      <c r="M248" s="81"/>
      <c r="N248" s="81"/>
      <c r="O248" s="81"/>
      <c r="P248" s="81"/>
      <c r="Q248" s="81"/>
      <c r="R248" s="81"/>
      <c r="S248" s="81"/>
    </row>
    <row r="249" spans="2:34" s="78" customFormat="1"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</row>
    <row r="250" spans="2:34" s="78" customFormat="1">
      <c r="B250" s="26" t="s">
        <v>189</v>
      </c>
      <c r="C250" s="26" t="s">
        <v>92</v>
      </c>
      <c r="D250" s="26" t="s">
        <v>93</v>
      </c>
      <c r="E250" s="26" t="s">
        <v>122</v>
      </c>
      <c r="F250" s="26" t="s">
        <v>94</v>
      </c>
      <c r="G250" s="26" t="s">
        <v>91</v>
      </c>
      <c r="H250" s="26" t="s">
        <v>156</v>
      </c>
      <c r="I250" s="79" t="s">
        <v>154</v>
      </c>
      <c r="J250" s="81" t="s">
        <v>279</v>
      </c>
      <c r="K250" s="81" t="s">
        <v>363</v>
      </c>
      <c r="L250" s="91" t="s">
        <v>248</v>
      </c>
      <c r="M250" s="26" t="s">
        <v>255</v>
      </c>
      <c r="N250" s="26" t="s">
        <v>259</v>
      </c>
      <c r="O250" s="26" t="s">
        <v>264</v>
      </c>
      <c r="P250" s="26" t="s">
        <v>271</v>
      </c>
      <c r="Q250" s="26" t="s">
        <v>305</v>
      </c>
      <c r="R250" s="26" t="s">
        <v>312</v>
      </c>
      <c r="S250" s="26" t="s">
        <v>322</v>
      </c>
      <c r="T250" s="26" t="s">
        <v>323</v>
      </c>
      <c r="U250" s="26" t="s">
        <v>329</v>
      </c>
      <c r="V250" s="26" t="s">
        <v>339</v>
      </c>
      <c r="W250" s="26" t="s">
        <v>342</v>
      </c>
      <c r="X250" s="26" t="s">
        <v>364</v>
      </c>
      <c r="Y250" s="27" t="s">
        <v>365</v>
      </c>
      <c r="Z250" s="27" t="s">
        <v>410</v>
      </c>
      <c r="AA250" s="27" t="s">
        <v>422</v>
      </c>
      <c r="AB250" s="27" t="s">
        <v>434</v>
      </c>
      <c r="AC250" s="27" t="s">
        <v>445</v>
      </c>
      <c r="AD250" s="27" t="s">
        <v>463</v>
      </c>
      <c r="AE250" s="27" t="s">
        <v>131</v>
      </c>
      <c r="AF250" s="27"/>
      <c r="AG250" s="27"/>
    </row>
    <row r="251" spans="2:34" s="86" customFormat="1">
      <c r="B251" s="80" t="s">
        <v>98</v>
      </c>
      <c r="C251" s="81">
        <v>551</v>
      </c>
      <c r="D251" s="81">
        <v>704</v>
      </c>
      <c r="E251" s="81">
        <v>712</v>
      </c>
      <c r="F251" s="81">
        <v>568</v>
      </c>
      <c r="G251" s="81">
        <v>612</v>
      </c>
      <c r="H251" s="81">
        <v>796</v>
      </c>
      <c r="I251" s="81">
        <v>872</v>
      </c>
      <c r="J251" s="81">
        <v>769</v>
      </c>
      <c r="K251" s="81">
        <v>780</v>
      </c>
      <c r="L251" s="80">
        <v>832</v>
      </c>
      <c r="M251" s="80">
        <v>802</v>
      </c>
      <c r="N251" s="80">
        <v>800</v>
      </c>
      <c r="O251" s="80">
        <v>781</v>
      </c>
      <c r="P251" s="80">
        <v>764</v>
      </c>
      <c r="Q251" s="80">
        <v>776</v>
      </c>
      <c r="R251" s="80">
        <v>785</v>
      </c>
      <c r="S251" s="80">
        <v>760</v>
      </c>
      <c r="T251" s="80">
        <v>752</v>
      </c>
      <c r="U251" s="80">
        <v>723</v>
      </c>
      <c r="V251" s="80">
        <v>718</v>
      </c>
      <c r="W251" s="80">
        <v>709</v>
      </c>
      <c r="X251" s="80">
        <v>644</v>
      </c>
      <c r="Y251" s="80">
        <v>720</v>
      </c>
      <c r="Z251" s="80">
        <v>725</v>
      </c>
      <c r="AA251" s="80">
        <v>735</v>
      </c>
      <c r="AB251" s="80">
        <v>744</v>
      </c>
      <c r="AC251" s="80">
        <v>781</v>
      </c>
      <c r="AD251" s="80">
        <v>755</v>
      </c>
      <c r="AE251" s="80">
        <v>768</v>
      </c>
      <c r="AF251" s="80"/>
      <c r="AG251" s="80"/>
    </row>
    <row r="252" spans="2:34" s="86" customFormat="1">
      <c r="B252" s="80" t="s">
        <v>99</v>
      </c>
      <c r="C252" s="81">
        <v>2911</v>
      </c>
      <c r="D252" s="81">
        <v>2922</v>
      </c>
      <c r="E252" s="81">
        <v>2871</v>
      </c>
      <c r="F252" s="81">
        <v>1710</v>
      </c>
      <c r="G252" s="81">
        <v>1735</v>
      </c>
      <c r="H252" s="81">
        <v>1927</v>
      </c>
      <c r="I252" s="81">
        <v>2146</v>
      </c>
      <c r="J252" s="81">
        <v>2042</v>
      </c>
      <c r="K252" s="81">
        <v>2023</v>
      </c>
      <c r="L252" s="80">
        <v>2027</v>
      </c>
      <c r="M252" s="80">
        <v>2002</v>
      </c>
      <c r="N252" s="80">
        <v>1963</v>
      </c>
      <c r="O252" s="80">
        <v>1969</v>
      </c>
      <c r="P252" s="80">
        <v>1961</v>
      </c>
      <c r="Q252" s="80">
        <v>1981</v>
      </c>
      <c r="R252" s="80">
        <v>2047</v>
      </c>
      <c r="S252" s="80">
        <v>1951</v>
      </c>
      <c r="T252" s="80">
        <v>1967</v>
      </c>
      <c r="U252" s="80">
        <v>1992</v>
      </c>
      <c r="V252" s="80">
        <v>1972</v>
      </c>
      <c r="W252" s="80">
        <v>1974</v>
      </c>
      <c r="X252" s="80">
        <v>2087</v>
      </c>
      <c r="Y252" s="80">
        <v>2056</v>
      </c>
      <c r="Z252" s="80">
        <v>2010</v>
      </c>
      <c r="AA252" s="80">
        <v>1997</v>
      </c>
      <c r="AB252" s="80">
        <v>1987</v>
      </c>
      <c r="AC252" s="80">
        <v>2026</v>
      </c>
      <c r="AD252" s="80">
        <v>2096</v>
      </c>
      <c r="AE252" s="80">
        <v>1948</v>
      </c>
      <c r="AF252" s="80"/>
      <c r="AG252" s="80"/>
    </row>
    <row r="253" spans="2:34" s="86" customFormat="1">
      <c r="B253" s="80" t="s">
        <v>100</v>
      </c>
      <c r="C253" s="81">
        <v>2360</v>
      </c>
      <c r="D253" s="81">
        <v>2218</v>
      </c>
      <c r="E253" s="81">
        <v>2159</v>
      </c>
      <c r="F253" s="81">
        <v>1142</v>
      </c>
      <c r="G253" s="81">
        <v>1123</v>
      </c>
      <c r="H253" s="81">
        <v>1131</v>
      </c>
      <c r="I253" s="81">
        <v>1274</v>
      </c>
      <c r="J253" s="81">
        <v>1273</v>
      </c>
      <c r="K253" s="81">
        <v>1264</v>
      </c>
      <c r="L253" s="80">
        <v>1220</v>
      </c>
      <c r="M253" s="80">
        <v>1214</v>
      </c>
      <c r="N253" s="80">
        <v>1187</v>
      </c>
      <c r="O253" s="80">
        <v>1211</v>
      </c>
      <c r="P253" s="80">
        <v>1217</v>
      </c>
      <c r="Q253" s="80">
        <v>1225</v>
      </c>
      <c r="R253" s="80">
        <v>1280</v>
      </c>
      <c r="S253" s="80">
        <v>1212</v>
      </c>
      <c r="T253" s="80">
        <v>1237</v>
      </c>
      <c r="U253" s="80">
        <v>1287</v>
      </c>
      <c r="V253" s="80">
        <v>1276</v>
      </c>
      <c r="W253" s="80">
        <v>1285</v>
      </c>
      <c r="X253" s="80">
        <v>1442</v>
      </c>
      <c r="Y253" s="80">
        <v>1355</v>
      </c>
      <c r="Z253" s="80">
        <v>1304</v>
      </c>
      <c r="AA253" s="80">
        <v>1289</v>
      </c>
      <c r="AB253" s="80">
        <v>1271</v>
      </c>
      <c r="AC253" s="80">
        <v>1275</v>
      </c>
      <c r="AD253" s="80">
        <v>1358</v>
      </c>
      <c r="AE253" s="80">
        <v>1199</v>
      </c>
      <c r="AF253" s="80"/>
      <c r="AG253" s="80"/>
    </row>
    <row r="254" spans="2:34" s="23" customFormat="1" ht="20.25">
      <c r="B254" s="82" t="s">
        <v>203</v>
      </c>
      <c r="C254" s="75"/>
      <c r="D254" s="75"/>
      <c r="E254" s="75"/>
      <c r="F254" s="75"/>
      <c r="H254" s="64"/>
      <c r="J254" s="81"/>
      <c r="K254" s="81"/>
      <c r="L254" s="81"/>
      <c r="M254" s="81"/>
      <c r="N254" s="81"/>
      <c r="O254" s="81"/>
      <c r="P254" s="81"/>
      <c r="X254" s="64"/>
      <c r="Y254" s="64"/>
      <c r="Z254" s="64"/>
      <c r="AA254" s="64"/>
      <c r="AB254" s="80"/>
      <c r="AC254" s="64"/>
      <c r="AD254" s="64"/>
      <c r="AE254" s="64"/>
      <c r="AF254" s="64"/>
      <c r="AG254" s="64"/>
      <c r="AH254" s="64"/>
    </row>
    <row r="255" spans="2:34" s="23" customFormat="1" ht="20.25">
      <c r="B255" s="82" t="s">
        <v>479</v>
      </c>
      <c r="C255" s="75"/>
      <c r="D255" s="75"/>
      <c r="E255" s="75"/>
      <c r="F255" s="75"/>
      <c r="J255" s="81"/>
      <c r="K255" s="81"/>
      <c r="L255" s="81"/>
      <c r="M255" s="81"/>
      <c r="N255" s="81"/>
      <c r="O255" s="81"/>
      <c r="P255" s="81"/>
      <c r="AA255" s="64"/>
      <c r="AB255" s="64"/>
      <c r="AC255" s="64"/>
      <c r="AD255" s="64"/>
      <c r="AE255" s="64"/>
      <c r="AF255" s="64"/>
      <c r="AG255" s="64"/>
    </row>
    <row r="256" spans="2:34">
      <c r="J256" s="81"/>
      <c r="K256" s="81"/>
      <c r="L256" s="81"/>
      <c r="M256" s="81"/>
      <c r="N256" s="81"/>
      <c r="O256" s="81"/>
      <c r="P256" s="81"/>
    </row>
    <row r="257" spans="1:32" ht="17.25" customHeight="1">
      <c r="B257" s="135" t="s">
        <v>139</v>
      </c>
      <c r="C257" s="135"/>
      <c r="D257" s="155" t="s">
        <v>298</v>
      </c>
      <c r="E257" s="156"/>
      <c r="F257" s="156"/>
      <c r="G257" s="156"/>
      <c r="H257" s="156"/>
      <c r="I257" s="156"/>
      <c r="J257" s="156"/>
      <c r="K257" s="156"/>
      <c r="L257" s="157"/>
      <c r="M257" s="140" t="s">
        <v>243</v>
      </c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2"/>
      <c r="Y257" s="140" t="s">
        <v>361</v>
      </c>
      <c r="Z257" s="141"/>
      <c r="AA257" s="141"/>
      <c r="AB257" s="141"/>
      <c r="AC257" s="141"/>
      <c r="AD257" s="141"/>
      <c r="AE257" s="141"/>
      <c r="AF257" s="142"/>
    </row>
    <row r="258" spans="1:32" ht="16.5" customHeight="1">
      <c r="B258" s="135"/>
      <c r="C258" s="135"/>
      <c r="D258" s="154" t="s">
        <v>299</v>
      </c>
      <c r="E258" s="154" t="s">
        <v>300</v>
      </c>
      <c r="F258" s="154" t="s">
        <v>7</v>
      </c>
      <c r="G258" s="158" t="s">
        <v>301</v>
      </c>
      <c r="H258" s="149" t="s">
        <v>302</v>
      </c>
      <c r="I258" s="149" t="s">
        <v>303</v>
      </c>
      <c r="J258" s="154" t="s">
        <v>275</v>
      </c>
      <c r="K258" s="158" t="s">
        <v>304</v>
      </c>
      <c r="L258" s="154" t="s">
        <v>243</v>
      </c>
      <c r="M258" s="136" t="s">
        <v>111</v>
      </c>
      <c r="N258" s="136" t="s">
        <v>256</v>
      </c>
      <c r="O258" s="136" t="s">
        <v>258</v>
      </c>
      <c r="P258" s="136" t="s">
        <v>268</v>
      </c>
      <c r="Q258" s="136" t="s">
        <v>214</v>
      </c>
      <c r="R258" s="136" t="s">
        <v>222</v>
      </c>
      <c r="S258" s="136" t="s">
        <v>315</v>
      </c>
      <c r="T258" s="136" t="s">
        <v>319</v>
      </c>
      <c r="U258" s="136" t="s">
        <v>240</v>
      </c>
      <c r="V258" s="136" t="s">
        <v>333</v>
      </c>
      <c r="W258" s="136" t="s">
        <v>335</v>
      </c>
      <c r="X258" s="136" t="s">
        <v>344</v>
      </c>
      <c r="Y258" s="85" t="s">
        <v>366</v>
      </c>
      <c r="Z258" s="136" t="s">
        <v>111</v>
      </c>
      <c r="AA258" s="136" t="s">
        <v>415</v>
      </c>
      <c r="AB258" s="136" t="s">
        <v>430</v>
      </c>
      <c r="AC258" s="136" t="s">
        <v>440</v>
      </c>
      <c r="AD258" s="136" t="s">
        <v>456</v>
      </c>
      <c r="AE258" s="136" t="s">
        <v>467</v>
      </c>
      <c r="AF258" s="136" t="s">
        <v>131</v>
      </c>
    </row>
    <row r="259" spans="1:32" ht="16.5" customHeight="1">
      <c r="B259" s="135"/>
      <c r="C259" s="135"/>
      <c r="D259" s="154"/>
      <c r="E259" s="154"/>
      <c r="F259" s="154"/>
      <c r="G259" s="154"/>
      <c r="H259" s="150"/>
      <c r="I259" s="150"/>
      <c r="J259" s="154"/>
      <c r="K259" s="154"/>
      <c r="L259" s="154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24" t="s">
        <v>247</v>
      </c>
      <c r="Z259" s="136"/>
      <c r="AA259" s="136"/>
      <c r="AB259" s="136"/>
      <c r="AC259" s="136"/>
      <c r="AD259" s="136"/>
      <c r="AE259" s="136"/>
      <c r="AF259" s="136"/>
    </row>
    <row r="260" spans="1:32" ht="26.25" customHeight="1">
      <c r="A260" s="67"/>
      <c r="B260" s="148" t="s">
        <v>147</v>
      </c>
      <c r="C260" s="148"/>
      <c r="D260" s="119">
        <v>823</v>
      </c>
      <c r="E260" s="119">
        <v>1057</v>
      </c>
      <c r="F260" s="119">
        <v>1146</v>
      </c>
      <c r="G260" s="119">
        <v>1054</v>
      </c>
      <c r="H260" s="119">
        <v>797</v>
      </c>
      <c r="I260" s="119">
        <v>1276</v>
      </c>
      <c r="J260" s="119">
        <v>1321</v>
      </c>
      <c r="K260" s="119">
        <v>1185</v>
      </c>
      <c r="L260" s="119">
        <v>1255.6171123243375</v>
      </c>
      <c r="M260" s="119">
        <v>1324.10814785876</v>
      </c>
      <c r="N260" s="119">
        <v>1290.8441498489381</v>
      </c>
      <c r="O260" s="119">
        <v>1272.4212020215223</v>
      </c>
      <c r="P260" s="119">
        <v>1314.5797008324403</v>
      </c>
      <c r="Q260" s="119">
        <v>1293.9136486547909</v>
      </c>
      <c r="R260" s="119">
        <v>1161.4439590446077</v>
      </c>
      <c r="S260" s="119">
        <v>1187</v>
      </c>
      <c r="T260" s="119">
        <v>1113.7506687981208</v>
      </c>
      <c r="U260" s="119">
        <v>1176.1865355370883</v>
      </c>
      <c r="V260" s="119">
        <v>1311.7395008627514</v>
      </c>
      <c r="W260" s="119">
        <v>1289.8540160659325</v>
      </c>
      <c r="X260" s="119">
        <v>1319.6863233852878</v>
      </c>
      <c r="Y260" s="15">
        <v>1430.8676977620412</v>
      </c>
      <c r="Z260" s="119">
        <v>1268.9212511893743</v>
      </c>
      <c r="AA260" s="119">
        <v>1190.888421470067</v>
      </c>
      <c r="AB260" s="119">
        <v>1487.8871682754661</v>
      </c>
      <c r="AC260" s="119">
        <v>1428.0616628802848</v>
      </c>
      <c r="AD260" s="119">
        <v>1424.5437883641739</v>
      </c>
      <c r="AE260" s="119">
        <v>1430.1226370224947</v>
      </c>
      <c r="AF260" s="119">
        <v>1416.7109566789591</v>
      </c>
    </row>
    <row r="261" spans="1:32" ht="26.25">
      <c r="A261" s="67"/>
      <c r="B261" s="148" t="s">
        <v>212</v>
      </c>
      <c r="C261" s="148"/>
      <c r="D261" s="119">
        <v>1729</v>
      </c>
      <c r="E261" s="119">
        <v>1942</v>
      </c>
      <c r="F261" s="119">
        <v>1977</v>
      </c>
      <c r="G261" s="119">
        <v>1881</v>
      </c>
      <c r="H261" s="119">
        <v>1569</v>
      </c>
      <c r="I261" s="119">
        <v>1946</v>
      </c>
      <c r="J261" s="119">
        <v>2247</v>
      </c>
      <c r="K261" s="119">
        <v>2216</v>
      </c>
      <c r="L261" s="119">
        <v>2407.5906389698753</v>
      </c>
      <c r="M261" s="119">
        <v>2389.7086251662304</v>
      </c>
      <c r="N261" s="119">
        <v>2265.7549912377835</v>
      </c>
      <c r="O261" s="119">
        <v>2681.6727779766206</v>
      </c>
      <c r="P261" s="119">
        <v>2621.3757223666507</v>
      </c>
      <c r="Q261" s="119">
        <v>2258.3328459831268</v>
      </c>
      <c r="R261" s="119">
        <v>2216.8723302890789</v>
      </c>
      <c r="S261" s="119">
        <v>2397</v>
      </c>
      <c r="T261" s="119">
        <v>2269.7735066099208</v>
      </c>
      <c r="U261" s="119">
        <v>2336.335268255591</v>
      </c>
      <c r="V261" s="119">
        <v>2404.2397096913878</v>
      </c>
      <c r="W261" s="119">
        <v>2557.3898470366503</v>
      </c>
      <c r="X261" s="119">
        <v>2465.4657998514222</v>
      </c>
      <c r="Y261" s="15">
        <v>2381.369316577242</v>
      </c>
      <c r="Z261" s="119">
        <v>2413.5084098203779</v>
      </c>
      <c r="AA261" s="119">
        <v>2453.7521859232188</v>
      </c>
      <c r="AB261" s="119">
        <v>2781.2611804659527</v>
      </c>
      <c r="AC261" s="119">
        <v>2597.2776264420349</v>
      </c>
      <c r="AD261" s="119">
        <v>2340.2668229419323</v>
      </c>
      <c r="AE261" s="119">
        <v>2391.1280752378757</v>
      </c>
      <c r="AF261" s="119">
        <v>2355.4894249205954</v>
      </c>
    </row>
    <row r="262" spans="1:32" ht="26.25" customHeight="1">
      <c r="A262" s="67"/>
      <c r="B262" s="135" t="s">
        <v>144</v>
      </c>
      <c r="C262" s="135"/>
      <c r="D262" s="120">
        <v>872</v>
      </c>
      <c r="E262" s="120">
        <v>1150</v>
      </c>
      <c r="F262" s="120">
        <v>1292</v>
      </c>
      <c r="G262" s="120">
        <v>1265</v>
      </c>
      <c r="H262" s="120">
        <v>1059</v>
      </c>
      <c r="I262" s="120">
        <v>1486</v>
      </c>
      <c r="J262" s="120">
        <v>1494</v>
      </c>
      <c r="K262" s="120">
        <v>1414</v>
      </c>
      <c r="L262" s="120">
        <v>1524.5926165590422</v>
      </c>
      <c r="M262" s="120">
        <v>1670</v>
      </c>
      <c r="N262" s="120">
        <v>1426</v>
      </c>
      <c r="O262" s="120">
        <v>1484</v>
      </c>
      <c r="P262" s="120">
        <v>1550</v>
      </c>
      <c r="Q262" s="120">
        <v>1495</v>
      </c>
      <c r="R262" s="120">
        <v>1432</v>
      </c>
      <c r="S262" s="120">
        <v>1479</v>
      </c>
      <c r="T262" s="120">
        <v>1379</v>
      </c>
      <c r="U262" s="120">
        <v>1460</v>
      </c>
      <c r="V262" s="120">
        <v>1621</v>
      </c>
      <c r="W262" s="120">
        <v>1691</v>
      </c>
      <c r="X262" s="120">
        <v>1612</v>
      </c>
      <c r="Y262" s="66">
        <v>1610.2385379846173</v>
      </c>
      <c r="Z262" s="120">
        <v>1491.0728982382302</v>
      </c>
      <c r="AA262" s="120">
        <v>1552.2039645144778</v>
      </c>
      <c r="AB262" s="120">
        <v>1808.2874463267467</v>
      </c>
      <c r="AC262" s="120">
        <v>1595.5263908763172</v>
      </c>
      <c r="AD262" s="120">
        <v>1674.2591167125247</v>
      </c>
      <c r="AE262" s="120">
        <v>1639.6354526696139</v>
      </c>
      <c r="AF262" s="120">
        <v>1518.2103944412563</v>
      </c>
    </row>
    <row r="263" spans="1:32">
      <c r="J263" s="81"/>
      <c r="K263" s="81"/>
      <c r="L263" s="81"/>
      <c r="M263" s="81"/>
      <c r="N263" s="81"/>
      <c r="O263" s="81"/>
      <c r="P263" s="8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32">
      <c r="J264" s="81"/>
      <c r="K264" s="81"/>
      <c r="L264" s="81"/>
      <c r="M264" s="81"/>
      <c r="N264" s="81"/>
      <c r="O264" s="81"/>
      <c r="P264" s="8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81" spans="1:32" s="69" customFormat="1"/>
    <row r="282" spans="1:32" s="69" customFormat="1"/>
    <row r="283" spans="1:32" s="69" customFormat="1"/>
    <row r="284" spans="1:32" s="69" customFormat="1"/>
    <row r="285" spans="1:32" s="23" customFormat="1">
      <c r="A285" s="69"/>
      <c r="B285" s="21" t="s">
        <v>189</v>
      </c>
      <c r="C285" s="64" t="s">
        <v>92</v>
      </c>
      <c r="D285" s="21" t="s">
        <v>93</v>
      </c>
      <c r="E285" s="21" t="s">
        <v>122</v>
      </c>
      <c r="F285" s="21" t="s">
        <v>94</v>
      </c>
      <c r="G285" s="21" t="s">
        <v>91</v>
      </c>
      <c r="H285" s="64" t="s">
        <v>156</v>
      </c>
      <c r="I285" s="83" t="s">
        <v>154</v>
      </c>
      <c r="J285" s="27" t="s">
        <v>250</v>
      </c>
      <c r="K285" s="64" t="s">
        <v>368</v>
      </c>
      <c r="L285" s="64" t="s">
        <v>249</v>
      </c>
      <c r="M285" s="21" t="s">
        <v>256</v>
      </c>
      <c r="N285" s="64" t="s">
        <v>257</v>
      </c>
      <c r="O285" s="64" t="s">
        <v>265</v>
      </c>
      <c r="P285" s="64" t="s">
        <v>270</v>
      </c>
      <c r="Q285" s="64" t="s">
        <v>307</v>
      </c>
      <c r="R285" s="64" t="s">
        <v>317</v>
      </c>
      <c r="S285" s="64" t="s">
        <v>322</v>
      </c>
      <c r="T285" s="64" t="s">
        <v>323</v>
      </c>
      <c r="U285" s="64" t="s">
        <v>334</v>
      </c>
      <c r="V285" s="64" t="s">
        <v>339</v>
      </c>
      <c r="W285" s="64" t="s">
        <v>340</v>
      </c>
      <c r="X285" s="64" t="s">
        <v>369</v>
      </c>
      <c r="Y285" s="64" t="s">
        <v>370</v>
      </c>
      <c r="Z285" s="64" t="s">
        <v>416</v>
      </c>
      <c r="AA285" s="64" t="s">
        <v>421</v>
      </c>
      <c r="AB285" s="64" t="s">
        <v>434</v>
      </c>
      <c r="AC285" s="64" t="s">
        <v>451</v>
      </c>
      <c r="AD285" s="64" t="s">
        <v>460</v>
      </c>
      <c r="AE285" s="64" t="s">
        <v>131</v>
      </c>
      <c r="AF285" s="64"/>
    </row>
    <row r="286" spans="1:32" s="73" customFormat="1">
      <c r="B286" s="27" t="s">
        <v>98</v>
      </c>
      <c r="C286" s="81">
        <v>544</v>
      </c>
      <c r="D286" s="81">
        <v>682</v>
      </c>
      <c r="E286" s="81">
        <v>656</v>
      </c>
      <c r="F286" s="81">
        <v>519</v>
      </c>
      <c r="G286" s="81">
        <v>558</v>
      </c>
      <c r="H286" s="81">
        <v>734</v>
      </c>
      <c r="I286" s="81">
        <v>797</v>
      </c>
      <c r="J286" s="81">
        <v>716</v>
      </c>
      <c r="K286" s="81">
        <v>694</v>
      </c>
      <c r="L286" s="81">
        <v>727</v>
      </c>
      <c r="M286" s="27">
        <v>710</v>
      </c>
      <c r="N286" s="27">
        <v>706</v>
      </c>
      <c r="O286" s="27">
        <v>696</v>
      </c>
      <c r="P286" s="27">
        <v>699</v>
      </c>
      <c r="Q286" s="27">
        <v>712</v>
      </c>
      <c r="R286" s="27">
        <v>713</v>
      </c>
      <c r="S286" s="27">
        <v>699</v>
      </c>
      <c r="T286" s="27">
        <v>674</v>
      </c>
      <c r="U286" s="27">
        <v>669</v>
      </c>
      <c r="V286" s="27">
        <v>672</v>
      </c>
      <c r="W286" s="27">
        <v>649</v>
      </c>
      <c r="X286" s="27">
        <v>620</v>
      </c>
      <c r="Y286" s="27">
        <v>650</v>
      </c>
      <c r="Z286" s="27">
        <v>649</v>
      </c>
      <c r="AA286" s="27">
        <v>656</v>
      </c>
      <c r="AB286" s="27">
        <v>651</v>
      </c>
      <c r="AC286" s="27">
        <v>669</v>
      </c>
      <c r="AD286" s="27">
        <v>665</v>
      </c>
      <c r="AE286" s="27">
        <v>683</v>
      </c>
      <c r="AF286" s="27"/>
    </row>
    <row r="287" spans="1:32" s="73" customFormat="1">
      <c r="B287" s="27" t="s">
        <v>99</v>
      </c>
      <c r="C287" s="81">
        <v>1416</v>
      </c>
      <c r="D287" s="81">
        <v>1832</v>
      </c>
      <c r="E287" s="81">
        <v>1948</v>
      </c>
      <c r="F287" s="81">
        <v>1784</v>
      </c>
      <c r="G287" s="81">
        <v>1617</v>
      </c>
      <c r="H287" s="81">
        <v>2220</v>
      </c>
      <c r="I287" s="81">
        <v>2291</v>
      </c>
      <c r="J287" s="81">
        <v>2130</v>
      </c>
      <c r="K287" s="81">
        <v>2226</v>
      </c>
      <c r="L287" s="81">
        <v>2404</v>
      </c>
      <c r="M287" s="27">
        <v>2146</v>
      </c>
      <c r="N287" s="27">
        <v>2198</v>
      </c>
      <c r="O287" s="27">
        <v>2254</v>
      </c>
      <c r="P287" s="27">
        <v>2200</v>
      </c>
      <c r="Q287" s="27">
        <v>2155</v>
      </c>
      <c r="R287" s="27">
        <v>2201</v>
      </c>
      <c r="S287" s="27">
        <v>2084</v>
      </c>
      <c r="T287" s="27">
        <v>2141</v>
      </c>
      <c r="U287" s="27">
        <v>2295</v>
      </c>
      <c r="V287" s="27">
        <v>2367</v>
      </c>
      <c r="W287" s="27">
        <v>2265</v>
      </c>
      <c r="X287" s="27">
        <v>2218</v>
      </c>
      <c r="Y287" s="27">
        <v>2141</v>
      </c>
      <c r="Z287" s="27">
        <v>2206</v>
      </c>
      <c r="AA287" s="27">
        <v>2471</v>
      </c>
      <c r="AB287" s="27">
        <v>2253</v>
      </c>
      <c r="AC287" s="27">
        <v>2346</v>
      </c>
      <c r="AD287" s="27">
        <v>2317</v>
      </c>
      <c r="AE287" s="27">
        <v>2212</v>
      </c>
      <c r="AF287" s="27"/>
    </row>
    <row r="288" spans="1:32" s="73" customFormat="1">
      <c r="B288" s="27" t="s">
        <v>100</v>
      </c>
      <c r="C288" s="81">
        <v>872</v>
      </c>
      <c r="D288" s="81">
        <v>1150</v>
      </c>
      <c r="E288" s="81">
        <v>1292</v>
      </c>
      <c r="F288" s="81">
        <v>1265</v>
      </c>
      <c r="G288" s="81">
        <v>1059</v>
      </c>
      <c r="H288" s="81">
        <v>1486</v>
      </c>
      <c r="I288" s="81">
        <v>1494</v>
      </c>
      <c r="J288" s="81">
        <v>1414</v>
      </c>
      <c r="K288" s="81">
        <v>1525</v>
      </c>
      <c r="L288" s="81">
        <v>1670</v>
      </c>
      <c r="M288" s="27">
        <v>1426</v>
      </c>
      <c r="N288" s="27">
        <v>1484</v>
      </c>
      <c r="O288" s="27">
        <v>1550</v>
      </c>
      <c r="P288" s="27">
        <v>1495</v>
      </c>
      <c r="Q288" s="27">
        <v>1432</v>
      </c>
      <c r="R288" s="27">
        <v>1479</v>
      </c>
      <c r="S288" s="27">
        <v>1379</v>
      </c>
      <c r="T288" s="27">
        <v>1460</v>
      </c>
      <c r="U288" s="27">
        <v>1621</v>
      </c>
      <c r="V288" s="27">
        <v>1691</v>
      </c>
      <c r="W288" s="27">
        <v>1612</v>
      </c>
      <c r="X288" s="27">
        <v>1610</v>
      </c>
      <c r="Y288" s="27">
        <v>1491</v>
      </c>
      <c r="Z288" s="27">
        <v>1552</v>
      </c>
      <c r="AA288" s="27">
        <v>1808</v>
      </c>
      <c r="AB288" s="27">
        <v>1596</v>
      </c>
      <c r="AC288" s="27">
        <v>1674</v>
      </c>
      <c r="AD288" s="27">
        <v>1640</v>
      </c>
      <c r="AE288" s="27">
        <v>1518</v>
      </c>
      <c r="AF288" s="27"/>
    </row>
    <row r="289" spans="2:36" ht="41.25">
      <c r="B289" s="29" t="s">
        <v>102</v>
      </c>
      <c r="J289" s="21"/>
      <c r="K289" s="21"/>
      <c r="U289" s="23"/>
      <c r="V289" s="23"/>
      <c r="W289" s="23"/>
      <c r="X289" s="64"/>
      <c r="Y289" s="64"/>
      <c r="Z289" s="64"/>
      <c r="AA289" s="64"/>
      <c r="AB289" s="64"/>
      <c r="AC289" s="23"/>
      <c r="AD289" s="23"/>
      <c r="AE289" s="23"/>
      <c r="AF289" s="23"/>
      <c r="AG289" s="75"/>
      <c r="AH289" s="75"/>
      <c r="AI289" s="75"/>
      <c r="AJ289" s="75"/>
    </row>
    <row r="290" spans="2:36">
      <c r="J290" s="69"/>
      <c r="K290" s="69"/>
    </row>
    <row r="291" spans="2:36" ht="20.25">
      <c r="B291" s="20" t="s">
        <v>161</v>
      </c>
    </row>
    <row r="292" spans="2:36" ht="20.25">
      <c r="B292" s="20" t="s">
        <v>488</v>
      </c>
    </row>
    <row r="294" spans="2:36" ht="17.25" customHeight="1">
      <c r="B294" s="135" t="s">
        <v>3</v>
      </c>
      <c r="C294" s="135"/>
      <c r="D294" s="145" t="s">
        <v>162</v>
      </c>
      <c r="E294" s="146"/>
      <c r="F294" s="146"/>
      <c r="G294" s="146"/>
      <c r="H294" s="146"/>
      <c r="I294" s="146"/>
      <c r="J294" s="146"/>
      <c r="K294" s="146"/>
      <c r="L294" s="146"/>
      <c r="M294" s="147"/>
      <c r="N294" s="136" t="s">
        <v>373</v>
      </c>
      <c r="O294" s="136"/>
      <c r="P294" s="136"/>
      <c r="Q294" s="136"/>
      <c r="R294" s="136"/>
      <c r="S294" s="136"/>
      <c r="T294" s="136"/>
    </row>
    <row r="295" spans="2:36" ht="16.5" customHeight="1">
      <c r="B295" s="135"/>
      <c r="C295" s="135"/>
      <c r="D295" s="136" t="s">
        <v>163</v>
      </c>
      <c r="E295" s="136" t="s">
        <v>155</v>
      </c>
      <c r="F295" s="136" t="s">
        <v>7</v>
      </c>
      <c r="G295" s="135" t="s">
        <v>8</v>
      </c>
      <c r="H295" s="143" t="s">
        <v>4</v>
      </c>
      <c r="I295" s="143" t="s">
        <v>156</v>
      </c>
      <c r="J295" s="143" t="s">
        <v>190</v>
      </c>
      <c r="K295" s="143" t="s">
        <v>185</v>
      </c>
      <c r="L295" s="143" t="s">
        <v>345</v>
      </c>
      <c r="M295" s="143" t="s">
        <v>374</v>
      </c>
      <c r="N295" s="139" t="s">
        <v>372</v>
      </c>
      <c r="O295" s="139" t="s">
        <v>112</v>
      </c>
      <c r="P295" s="139" t="s">
        <v>113</v>
      </c>
      <c r="Q295" s="139" t="s">
        <v>441</v>
      </c>
      <c r="R295" s="139" t="s">
        <v>89</v>
      </c>
      <c r="S295" s="139" t="s">
        <v>127</v>
      </c>
      <c r="T295" s="139" t="s">
        <v>131</v>
      </c>
    </row>
    <row r="296" spans="2:36" ht="16.5" customHeight="1">
      <c r="B296" s="135"/>
      <c r="C296" s="135"/>
      <c r="D296" s="136"/>
      <c r="E296" s="136"/>
      <c r="F296" s="136"/>
      <c r="G296" s="136"/>
      <c r="H296" s="144"/>
      <c r="I296" s="144"/>
      <c r="J296" s="144"/>
      <c r="K296" s="144"/>
      <c r="L296" s="138"/>
      <c r="M296" s="138"/>
      <c r="N296" s="138"/>
      <c r="O296" s="138"/>
      <c r="P296" s="138"/>
      <c r="Q296" s="138"/>
      <c r="R296" s="138"/>
      <c r="S296" s="138"/>
      <c r="T296" s="138"/>
    </row>
    <row r="297" spans="2:36" ht="26.25">
      <c r="B297" s="14" t="s">
        <v>1</v>
      </c>
      <c r="C297" s="14" t="s">
        <v>1</v>
      </c>
      <c r="D297" s="15">
        <v>650.69507009046708</v>
      </c>
      <c r="E297" s="15">
        <v>543.03752614628036</v>
      </c>
      <c r="F297" s="15">
        <v>587.08136659742559</v>
      </c>
      <c r="G297" s="15">
        <v>731.73513510504256</v>
      </c>
      <c r="H297" s="15">
        <v>821.467571678186</v>
      </c>
      <c r="I297" s="15">
        <v>688</v>
      </c>
      <c r="J297" s="15">
        <v>626</v>
      </c>
      <c r="K297" s="15">
        <v>692.42284555156994</v>
      </c>
      <c r="L297" s="15">
        <v>720.14494992974994</v>
      </c>
      <c r="M297" s="15">
        <v>763.46599332509481</v>
      </c>
      <c r="N297" s="15">
        <v>734.18418719956264</v>
      </c>
      <c r="O297" s="15">
        <v>692.77793926797051</v>
      </c>
      <c r="P297" s="15">
        <v>681.46341055870766</v>
      </c>
      <c r="Q297" s="15">
        <v>718.56072864202656</v>
      </c>
      <c r="R297" s="15">
        <v>776.55227873343108</v>
      </c>
      <c r="S297" s="15">
        <v>758.09363492187663</v>
      </c>
      <c r="T297" s="15">
        <v>710.16866229308403</v>
      </c>
    </row>
    <row r="298" spans="2:36" ht="26.25">
      <c r="B298" s="159" t="s">
        <v>149</v>
      </c>
      <c r="C298" s="161"/>
      <c r="D298" s="16">
        <v>650.69507009046708</v>
      </c>
      <c r="E298" s="16">
        <v>543.03752614628036</v>
      </c>
      <c r="F298" s="16">
        <v>587.08136659742559</v>
      </c>
      <c r="G298" s="16">
        <v>731.73513510504256</v>
      </c>
      <c r="H298" s="16">
        <v>821.467571678186</v>
      </c>
      <c r="I298" s="16">
        <f t="shared" ref="I298:J298" si="0">SUM(I297)</f>
        <v>688</v>
      </c>
      <c r="J298" s="16">
        <f t="shared" si="0"/>
        <v>626</v>
      </c>
      <c r="K298" s="16">
        <v>692.42284555156994</v>
      </c>
      <c r="L298" s="16">
        <v>720.14494992974994</v>
      </c>
      <c r="M298" s="16">
        <v>763.46599332509481</v>
      </c>
      <c r="N298" s="16">
        <v>734.18418719956264</v>
      </c>
      <c r="O298" s="16">
        <v>692.77793926797051</v>
      </c>
      <c r="P298" s="16">
        <v>681.46341055870766</v>
      </c>
      <c r="Q298" s="16">
        <v>718.56072864202656</v>
      </c>
      <c r="R298" s="16">
        <v>776.55227873343108</v>
      </c>
      <c r="S298" s="16">
        <v>758.09363492187663</v>
      </c>
      <c r="T298" s="16">
        <v>710.16866229308403</v>
      </c>
    </row>
    <row r="299" spans="2:36" ht="26.25">
      <c r="B299" s="122" t="s">
        <v>164</v>
      </c>
      <c r="C299" s="56"/>
    </row>
    <row r="300" spans="2:36" ht="53.25" customHeight="1">
      <c r="B300" s="69"/>
      <c r="C300" s="69"/>
      <c r="D300" s="72"/>
      <c r="E300" s="72"/>
      <c r="F300" s="72"/>
      <c r="G300" s="69"/>
      <c r="H300" s="69"/>
      <c r="I300" s="69"/>
      <c r="J300" s="69"/>
      <c r="K300" s="69"/>
      <c r="L300" s="69"/>
    </row>
    <row r="301" spans="2:36">
      <c r="B301" s="69"/>
      <c r="C301" s="69"/>
      <c r="D301" s="72"/>
      <c r="E301" s="72"/>
      <c r="F301" s="72"/>
      <c r="G301" s="69"/>
      <c r="H301" s="69"/>
      <c r="I301" s="69"/>
      <c r="J301" s="69"/>
      <c r="K301" s="69"/>
      <c r="L301" s="69"/>
    </row>
    <row r="302" spans="2:36">
      <c r="B302" s="69"/>
      <c r="C302" s="69"/>
      <c r="D302" s="72"/>
      <c r="E302" s="72"/>
      <c r="F302" s="72"/>
      <c r="G302" s="69"/>
      <c r="H302" s="69"/>
      <c r="I302" s="69"/>
      <c r="J302" s="69"/>
      <c r="K302" s="69"/>
      <c r="L302" s="69"/>
    </row>
    <row r="303" spans="2:36">
      <c r="B303" s="69"/>
      <c r="C303" s="69"/>
      <c r="D303" s="72"/>
      <c r="E303" s="72"/>
      <c r="F303" s="72"/>
      <c r="G303" s="69"/>
      <c r="H303" s="69"/>
      <c r="I303" s="69"/>
      <c r="J303" s="69"/>
      <c r="K303" s="69"/>
      <c r="L303" s="69"/>
    </row>
    <row r="304" spans="2:36">
      <c r="B304" s="69"/>
      <c r="C304" s="69"/>
      <c r="D304" s="72"/>
      <c r="E304" s="72"/>
      <c r="F304" s="72"/>
      <c r="G304" s="69"/>
      <c r="H304" s="69"/>
      <c r="I304" s="69"/>
      <c r="J304" s="69"/>
      <c r="K304" s="69"/>
      <c r="L304" s="69"/>
    </row>
    <row r="305" spans="1:25">
      <c r="B305" s="69"/>
      <c r="C305" s="69"/>
      <c r="D305" s="72"/>
      <c r="E305" s="72"/>
      <c r="F305" s="72"/>
      <c r="G305" s="69"/>
      <c r="H305" s="69"/>
      <c r="I305" s="69"/>
      <c r="J305" s="69"/>
      <c r="K305" s="69"/>
      <c r="L305" s="69"/>
    </row>
    <row r="306" spans="1:25"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</row>
    <row r="307" spans="1:25"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</row>
    <row r="308" spans="1:25"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</row>
    <row r="309" spans="1:25"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</row>
    <row r="310" spans="1:25"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</row>
    <row r="311" spans="1:25"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</row>
    <row r="312" spans="1:25"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</row>
    <row r="313" spans="1:25"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</row>
    <row r="314" spans="1:25"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</row>
    <row r="315" spans="1:25"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</row>
    <row r="316" spans="1:25"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</row>
    <row r="317" spans="1:25"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</row>
    <row r="318" spans="1:25"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</row>
    <row r="319" spans="1:25"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</row>
    <row r="320" spans="1: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1:26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1:26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1:26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1:26" s="69" customForma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1:26" s="69" customFormat="1" ht="42.75" customHeight="1">
      <c r="Y325" s="21"/>
    </row>
    <row r="326" spans="1:26" s="69" customFormat="1" ht="17.25">
      <c r="A326" s="21"/>
      <c r="B326" s="95"/>
      <c r="C326" s="95"/>
      <c r="D326" s="95"/>
      <c r="E326" s="95"/>
      <c r="F326" s="95"/>
      <c r="G326" s="95"/>
      <c r="H326" s="95"/>
      <c r="I326" s="95"/>
      <c r="J326" s="95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 spans="1:26" s="64" customFormat="1" ht="17.25">
      <c r="A327" s="21"/>
      <c r="B327" s="96"/>
      <c r="C327" s="96" t="s">
        <v>228</v>
      </c>
      <c r="D327" s="96" t="s">
        <v>229</v>
      </c>
      <c r="E327" s="96" t="s">
        <v>7</v>
      </c>
      <c r="F327" s="96" t="s">
        <v>230</v>
      </c>
      <c r="G327" s="96" t="s">
        <v>4</v>
      </c>
      <c r="H327" s="96" t="s">
        <v>231</v>
      </c>
      <c r="I327" s="77" t="s">
        <v>232</v>
      </c>
      <c r="J327" s="96" t="s">
        <v>251</v>
      </c>
      <c r="K327" s="96" t="s">
        <v>377</v>
      </c>
      <c r="L327" s="96" t="s">
        <v>375</v>
      </c>
      <c r="M327" s="96" t="s">
        <v>376</v>
      </c>
      <c r="N327" s="96" t="s">
        <v>381</v>
      </c>
      <c r="O327" s="96" t="s">
        <v>0</v>
      </c>
      <c r="P327" s="102" t="s">
        <v>2</v>
      </c>
      <c r="Q327" s="102" t="s">
        <v>89</v>
      </c>
      <c r="R327" s="102" t="s">
        <v>127</v>
      </c>
      <c r="S327" s="102" t="s">
        <v>128</v>
      </c>
      <c r="T327" s="102" t="s">
        <v>181</v>
      </c>
      <c r="U327" s="102" t="s">
        <v>182</v>
      </c>
      <c r="V327" s="96" t="s">
        <v>183</v>
      </c>
      <c r="W327" s="96" t="s">
        <v>184</v>
      </c>
      <c r="Y327" s="23"/>
      <c r="Z327" s="23"/>
    </row>
    <row r="328" spans="1:26" s="64" customFormat="1" ht="31.5" customHeight="1">
      <c r="A328" s="21"/>
      <c r="B328" s="97" t="s">
        <v>233</v>
      </c>
      <c r="C328" s="98">
        <v>1230</v>
      </c>
      <c r="D328" s="98">
        <v>1275</v>
      </c>
      <c r="E328" s="98">
        <v>1286</v>
      </c>
      <c r="F328" s="98">
        <v>1282</v>
      </c>
      <c r="G328" s="99">
        <v>1411.4269045006477</v>
      </c>
      <c r="H328" s="99">
        <v>1483</v>
      </c>
      <c r="I328" s="100">
        <v>1493.0416666666667</v>
      </c>
      <c r="J328" s="99">
        <v>1446.2550317241908</v>
      </c>
      <c r="K328" s="99">
        <v>1465</v>
      </c>
      <c r="L328" s="99">
        <v>1450</v>
      </c>
      <c r="M328" s="99">
        <v>1453</v>
      </c>
      <c r="N328" s="64">
        <v>1442</v>
      </c>
      <c r="O328" s="64">
        <v>1458</v>
      </c>
      <c r="P328" s="64">
        <v>1458</v>
      </c>
      <c r="Q328" s="64">
        <v>1499</v>
      </c>
      <c r="R328" s="64">
        <v>1490</v>
      </c>
      <c r="S328" s="64">
        <v>1498</v>
      </c>
      <c r="Y328" s="23"/>
      <c r="Z328" s="23"/>
    </row>
    <row r="329" spans="1:26" s="64" customFormat="1" ht="17.25">
      <c r="A329" s="21"/>
      <c r="B329" s="97" t="s">
        <v>165</v>
      </c>
      <c r="C329" s="97">
        <v>579</v>
      </c>
      <c r="D329" s="97">
        <v>732</v>
      </c>
      <c r="E329" s="97">
        <v>699</v>
      </c>
      <c r="F329" s="97">
        <v>550</v>
      </c>
      <c r="G329" s="99">
        <v>589.95933282246165</v>
      </c>
      <c r="H329" s="99">
        <v>794</v>
      </c>
      <c r="I329" s="100">
        <v>863.41666666666663</v>
      </c>
      <c r="J329" s="99">
        <v>753.83218617262082</v>
      </c>
      <c r="K329" s="99">
        <v>745</v>
      </c>
      <c r="L329" s="99">
        <v>687</v>
      </c>
      <c r="M329" s="99">
        <v>719</v>
      </c>
      <c r="N329" s="64">
        <v>750</v>
      </c>
      <c r="O329" s="64">
        <v>776</v>
      </c>
      <c r="P329" s="64">
        <v>740</v>
      </c>
      <c r="Q329" s="64">
        <v>723</v>
      </c>
      <c r="R329" s="64">
        <v>732</v>
      </c>
      <c r="S329" s="64">
        <v>788</v>
      </c>
      <c r="Y329" s="23"/>
      <c r="Z329" s="23"/>
    </row>
    <row r="330" spans="1:26" s="64" customFormat="1" ht="17.25">
      <c r="A330" s="21"/>
      <c r="B330" s="97" t="s">
        <v>234</v>
      </c>
      <c r="C330" s="97">
        <v>651</v>
      </c>
      <c r="D330" s="97">
        <v>543</v>
      </c>
      <c r="E330" s="97">
        <v>587</v>
      </c>
      <c r="F330" s="97">
        <v>732</v>
      </c>
      <c r="G330" s="99">
        <v>821</v>
      </c>
      <c r="H330" s="99">
        <v>688</v>
      </c>
      <c r="I330" s="100">
        <v>629.75</v>
      </c>
      <c r="J330" s="99">
        <v>692.42284555156994</v>
      </c>
      <c r="K330" s="99">
        <v>720</v>
      </c>
      <c r="L330" s="99">
        <v>763</v>
      </c>
      <c r="M330" s="99">
        <v>734</v>
      </c>
      <c r="N330" s="64">
        <v>693</v>
      </c>
      <c r="O330" s="64">
        <v>681</v>
      </c>
      <c r="P330" s="64">
        <v>719</v>
      </c>
      <c r="Q330" s="64">
        <v>777</v>
      </c>
      <c r="R330" s="64">
        <v>758</v>
      </c>
      <c r="S330" s="64">
        <v>710</v>
      </c>
      <c r="Y330" s="23"/>
      <c r="Z330" s="23"/>
    </row>
    <row r="331" spans="1:26" s="23" customFormat="1" ht="17.25">
      <c r="A331" s="64"/>
      <c r="B331" s="116"/>
      <c r="C331" s="116"/>
      <c r="D331" s="116"/>
      <c r="E331" s="116"/>
      <c r="F331" s="116"/>
      <c r="G331" s="116"/>
      <c r="H331" s="116"/>
      <c r="I331" s="116"/>
      <c r="J331" s="117"/>
      <c r="K331" s="64"/>
      <c r="Q331" s="64"/>
      <c r="R331" s="64"/>
      <c r="S331" s="64"/>
      <c r="T331" s="64"/>
      <c r="U331" s="64"/>
    </row>
    <row r="332" spans="1:26" s="23" customFormat="1" ht="20.25">
      <c r="B332" s="20" t="s">
        <v>166</v>
      </c>
      <c r="S332" s="64"/>
      <c r="T332" s="64"/>
      <c r="U332" s="64"/>
      <c r="V332" s="64"/>
      <c r="W332" s="64"/>
      <c r="X332" s="64"/>
    </row>
    <row r="333" spans="1:26" ht="20.25">
      <c r="B333" s="20" t="s">
        <v>489</v>
      </c>
      <c r="C333" s="56"/>
      <c r="P333" s="64"/>
      <c r="Q333" s="64"/>
      <c r="R333" s="64"/>
      <c r="S333" s="64"/>
      <c r="T333" s="64"/>
      <c r="U333" s="64"/>
      <c r="V333" s="64"/>
      <c r="W333" s="64"/>
      <c r="X333" s="64"/>
    </row>
    <row r="334" spans="1:26" ht="17.25" customHeight="1">
      <c r="C334" s="56"/>
    </row>
    <row r="335" spans="1:26" ht="17.25" customHeight="1">
      <c r="B335" s="135" t="s">
        <v>169</v>
      </c>
      <c r="C335" s="135"/>
      <c r="D335" s="145" t="s">
        <v>140</v>
      </c>
      <c r="E335" s="146"/>
      <c r="F335" s="146"/>
      <c r="G335" s="146"/>
      <c r="H335" s="146"/>
      <c r="I335" s="146"/>
      <c r="J335" s="146"/>
      <c r="K335" s="146"/>
      <c r="L335" s="146"/>
      <c r="M335" s="147"/>
      <c r="N335" s="136" t="s">
        <v>380</v>
      </c>
      <c r="O335" s="136"/>
      <c r="P335" s="136"/>
      <c r="Q335" s="136"/>
      <c r="R335" s="136"/>
      <c r="S335" s="136"/>
      <c r="T335" s="136"/>
    </row>
    <row r="336" spans="1:26" ht="16.5" customHeight="1">
      <c r="B336" s="135"/>
      <c r="C336" s="135"/>
      <c r="D336" s="136" t="s">
        <v>171</v>
      </c>
      <c r="E336" s="136" t="s">
        <v>155</v>
      </c>
      <c r="F336" s="136" t="s">
        <v>172</v>
      </c>
      <c r="G336" s="135" t="s">
        <v>8</v>
      </c>
      <c r="H336" s="143" t="s">
        <v>4</v>
      </c>
      <c r="I336" s="143" t="s">
        <v>152</v>
      </c>
      <c r="J336" s="143" t="s">
        <v>186</v>
      </c>
      <c r="K336" s="135" t="s">
        <v>252</v>
      </c>
      <c r="L336" s="135" t="s">
        <v>377</v>
      </c>
      <c r="M336" s="135" t="s">
        <v>378</v>
      </c>
      <c r="N336" s="135" t="s">
        <v>379</v>
      </c>
      <c r="O336" s="135" t="s">
        <v>417</v>
      </c>
      <c r="P336" s="135" t="s">
        <v>113</v>
      </c>
      <c r="Q336" s="135" t="s">
        <v>442</v>
      </c>
      <c r="R336" s="135" t="s">
        <v>89</v>
      </c>
      <c r="S336" s="135" t="s">
        <v>127</v>
      </c>
      <c r="T336" s="135" t="s">
        <v>131</v>
      </c>
    </row>
    <row r="337" spans="2:20" ht="16.5" customHeight="1">
      <c r="B337" s="135"/>
      <c r="C337" s="135"/>
      <c r="D337" s="136"/>
      <c r="E337" s="136"/>
      <c r="F337" s="136"/>
      <c r="G337" s="136"/>
      <c r="H337" s="144"/>
      <c r="I337" s="144"/>
      <c r="J337" s="144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</row>
    <row r="338" spans="2:20" ht="26.25">
      <c r="B338" s="162" t="s">
        <v>167</v>
      </c>
      <c r="C338" s="4" t="s">
        <v>21</v>
      </c>
      <c r="D338" s="57">
        <v>432.81546625842941</v>
      </c>
      <c r="E338" s="57">
        <v>461.73527295920303</v>
      </c>
      <c r="F338" s="57">
        <v>503.25764281617558</v>
      </c>
      <c r="G338" s="57">
        <v>503.58364831046123</v>
      </c>
      <c r="H338" s="57">
        <v>484.69628510010978</v>
      </c>
      <c r="I338" s="57">
        <v>481.4859011196271</v>
      </c>
      <c r="J338" s="57">
        <v>499.34102411764979</v>
      </c>
      <c r="K338" s="57">
        <v>547.41457640527551</v>
      </c>
      <c r="L338" s="57">
        <v>534.05454460283988</v>
      </c>
      <c r="M338" s="57">
        <v>596.2508192152452</v>
      </c>
      <c r="N338" s="57">
        <v>523.33897679274264</v>
      </c>
      <c r="O338" s="57">
        <v>602.14862897987427</v>
      </c>
      <c r="P338" s="57">
        <v>610.54628604796505</v>
      </c>
      <c r="Q338" s="57">
        <v>589.18665294585946</v>
      </c>
      <c r="R338" s="57">
        <v>601.59093820059957</v>
      </c>
      <c r="S338" s="57">
        <v>575.12450060741742</v>
      </c>
      <c r="T338" s="57">
        <v>589.59439228743292</v>
      </c>
    </row>
    <row r="339" spans="2:20" ht="26.25">
      <c r="B339" s="163"/>
      <c r="C339" s="4" t="s">
        <v>24</v>
      </c>
      <c r="D339" s="57">
        <v>595.86079790852864</v>
      </c>
      <c r="E339" s="57">
        <v>619.00341068662215</v>
      </c>
      <c r="F339" s="57">
        <v>640.03751012520502</v>
      </c>
      <c r="G339" s="57">
        <v>649.2029233237937</v>
      </c>
      <c r="H339" s="57">
        <v>636.9744499160696</v>
      </c>
      <c r="I339" s="57">
        <v>611.03502085062121</v>
      </c>
      <c r="J339" s="57">
        <v>608.08399240195297</v>
      </c>
      <c r="K339" s="57">
        <v>654.07665122276876</v>
      </c>
      <c r="L339" s="57">
        <v>696.21041995098426</v>
      </c>
      <c r="M339" s="57">
        <v>692.2542885578905</v>
      </c>
      <c r="N339" s="57">
        <v>723.33642561979821</v>
      </c>
      <c r="O339" s="57">
        <v>796.22478301432011</v>
      </c>
      <c r="P339" s="57">
        <v>794.28310886773284</v>
      </c>
      <c r="Q339" s="57">
        <v>771.33675989452308</v>
      </c>
      <c r="R339" s="57">
        <v>778.34027011962178</v>
      </c>
      <c r="S339" s="57">
        <v>751.69838622620387</v>
      </c>
      <c r="T339" s="57">
        <v>757.5706117009463</v>
      </c>
    </row>
    <row r="340" spans="2:20" ht="26.25">
      <c r="B340" s="164"/>
      <c r="C340" s="11"/>
      <c r="D340" s="58">
        <v>460.9640035606979</v>
      </c>
      <c r="E340" s="58">
        <v>486.0471599760437</v>
      </c>
      <c r="F340" s="58">
        <v>523.62030266425779</v>
      </c>
      <c r="G340" s="58">
        <v>526.4681136283225</v>
      </c>
      <c r="H340" s="58">
        <v>511.63574606223409</v>
      </c>
      <c r="I340" s="58">
        <v>510.91424370017825</v>
      </c>
      <c r="J340" s="58">
        <v>517.30050226393064</v>
      </c>
      <c r="K340" s="58">
        <v>566.65466199983825</v>
      </c>
      <c r="L340" s="58">
        <v>566.5792698759243</v>
      </c>
      <c r="M340" s="58">
        <v>616.95156783674395</v>
      </c>
      <c r="N340" s="58">
        <v>564.03915277111855</v>
      </c>
      <c r="O340" s="58">
        <v>641.90006332039718</v>
      </c>
      <c r="P340" s="58">
        <v>649.36787939604017</v>
      </c>
      <c r="Q340" s="58">
        <v>622.60341553429907</v>
      </c>
      <c r="R340" s="58">
        <v>634.90885522679582</v>
      </c>
      <c r="S340" s="58">
        <v>611.45358300285307</v>
      </c>
      <c r="T340" s="58">
        <v>628.43946831736253</v>
      </c>
    </row>
    <row r="341" spans="2:20" ht="26.25">
      <c r="B341" s="14" t="s">
        <v>168</v>
      </c>
      <c r="C341" s="10" t="s">
        <v>173</v>
      </c>
      <c r="D341" s="57">
        <v>414.34981082194469</v>
      </c>
      <c r="E341" s="57">
        <v>461.1966788132699</v>
      </c>
      <c r="F341" s="57">
        <v>505.42430626642772</v>
      </c>
      <c r="G341" s="57">
        <v>511.53728446815944</v>
      </c>
      <c r="H341" s="57">
        <v>515.61451360069168</v>
      </c>
      <c r="I341" s="57">
        <v>525.15538194027613</v>
      </c>
      <c r="J341" s="57">
        <v>527.90232291692189</v>
      </c>
      <c r="K341" s="57">
        <v>560.30526078585331</v>
      </c>
      <c r="L341" s="57">
        <v>543.46306014763525</v>
      </c>
      <c r="M341" s="57">
        <v>578.5086972977906</v>
      </c>
      <c r="N341" s="57">
        <v>517.33016249067259</v>
      </c>
      <c r="O341" s="57">
        <v>629.64184207221047</v>
      </c>
      <c r="P341" s="57">
        <v>632.44483111229704</v>
      </c>
      <c r="Q341" s="57">
        <v>636.07751493116234</v>
      </c>
      <c r="R341" s="57">
        <v>631.2675786555119</v>
      </c>
      <c r="S341" s="57">
        <v>625.72117054173691</v>
      </c>
      <c r="T341" s="57">
        <v>609.62569314032817</v>
      </c>
    </row>
    <row r="342" spans="2:20" ht="26.25" customHeight="1">
      <c r="B342" s="159" t="s">
        <v>138</v>
      </c>
      <c r="C342" s="161"/>
      <c r="D342" s="58">
        <v>431.6732135846936</v>
      </c>
      <c r="E342" s="58">
        <v>471.16042270867052</v>
      </c>
      <c r="F342" s="58">
        <v>512.42313499784041</v>
      </c>
      <c r="G342" s="58">
        <v>516.96202693600571</v>
      </c>
      <c r="H342" s="58">
        <v>514.23533626848211</v>
      </c>
      <c r="I342" s="58">
        <v>520.26799302117342</v>
      </c>
      <c r="J342" s="58">
        <v>524.32137959274155</v>
      </c>
      <c r="K342" s="58">
        <v>562.48027999286955</v>
      </c>
      <c r="L342" s="58">
        <v>549.83144139745093</v>
      </c>
      <c r="M342" s="58">
        <v>589.91205292601308</v>
      </c>
      <c r="N342" s="58">
        <v>529.97422238453987</v>
      </c>
      <c r="O342" s="58">
        <v>633.20522170871334</v>
      </c>
      <c r="P342" s="58">
        <v>636.71938920810021</v>
      </c>
      <c r="Q342" s="58">
        <v>632.07293111404942</v>
      </c>
      <c r="R342" s="58">
        <v>632.27080893415632</v>
      </c>
      <c r="S342" s="58">
        <v>621.78589879010303</v>
      </c>
      <c r="T342" s="58">
        <v>614.18276535064456</v>
      </c>
    </row>
    <row r="343" spans="2:20" ht="26.25">
      <c r="B343" s="63" t="s">
        <v>311</v>
      </c>
    </row>
    <row r="357" spans="1: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</row>
    <row r="358" spans="1: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</row>
    <row r="359" spans="1: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</row>
    <row r="360" spans="1: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</row>
    <row r="361" spans="1: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</row>
    <row r="362" spans="1: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</row>
    <row r="363" spans="1: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</row>
    <row r="364" spans="1: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9"/>
      <c r="P364" s="69"/>
      <c r="Q364" s="69"/>
      <c r="R364" s="69"/>
      <c r="S364" s="69"/>
      <c r="T364" s="69"/>
      <c r="U364" s="69"/>
      <c r="V364" s="21"/>
      <c r="W364" s="21"/>
      <c r="X364" s="21"/>
    </row>
    <row r="365" spans="1:25" ht="48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69"/>
      <c r="R365" s="69"/>
      <c r="S365" s="21"/>
      <c r="T365" s="21"/>
      <c r="U365" s="21"/>
      <c r="V365" s="21"/>
      <c r="W365" s="21"/>
      <c r="X365" s="21"/>
      <c r="Y365" s="69"/>
    </row>
    <row r="366" spans="1:25" s="21" customFormat="1" ht="15.75" customHeight="1">
      <c r="Q366" s="69"/>
      <c r="R366" s="69"/>
      <c r="S366" s="69"/>
      <c r="Y366" s="69"/>
    </row>
    <row r="367" spans="1:25" s="71" customFormat="1" ht="17.25">
      <c r="A367" s="70"/>
      <c r="B367" s="70"/>
      <c r="C367" s="70" t="s">
        <v>92</v>
      </c>
      <c r="D367" s="70" t="s">
        <v>93</v>
      </c>
      <c r="E367" s="70" t="s">
        <v>122</v>
      </c>
      <c r="F367" s="70" t="s">
        <v>94</v>
      </c>
      <c r="G367" s="70" t="s">
        <v>235</v>
      </c>
      <c r="H367" s="70" t="s">
        <v>236</v>
      </c>
      <c r="I367" s="101" t="s">
        <v>154</v>
      </c>
      <c r="J367" s="102" t="s">
        <v>253</v>
      </c>
      <c r="K367" s="70" t="s">
        <v>377</v>
      </c>
      <c r="L367" s="71" t="s">
        <v>375</v>
      </c>
      <c r="M367" s="70" t="s">
        <v>376</v>
      </c>
      <c r="N367" s="70" t="s">
        <v>97</v>
      </c>
      <c r="O367" s="70" t="s">
        <v>0</v>
      </c>
      <c r="P367" s="71" t="s">
        <v>2</v>
      </c>
      <c r="Q367" s="70" t="s">
        <v>89</v>
      </c>
      <c r="R367" s="71" t="s">
        <v>127</v>
      </c>
      <c r="S367" s="71" t="s">
        <v>128</v>
      </c>
      <c r="T367" s="71" t="s">
        <v>181</v>
      </c>
      <c r="U367" s="71" t="s">
        <v>182</v>
      </c>
      <c r="V367" s="71" t="s">
        <v>183</v>
      </c>
      <c r="W367" s="71" t="s">
        <v>184</v>
      </c>
      <c r="Y367" s="118"/>
    </row>
    <row r="368" spans="1:25" s="64" customFormat="1">
      <c r="B368" s="64" t="s">
        <v>99</v>
      </c>
      <c r="C368" s="64">
        <v>691</v>
      </c>
      <c r="D368" s="64">
        <v>699</v>
      </c>
      <c r="E368" s="64">
        <v>704</v>
      </c>
      <c r="F368" s="64">
        <v>685</v>
      </c>
      <c r="G368" s="64">
        <v>732</v>
      </c>
      <c r="H368" s="64">
        <v>768</v>
      </c>
      <c r="I368" s="27">
        <v>740.41666666666663</v>
      </c>
      <c r="J368" s="64">
        <v>783</v>
      </c>
      <c r="K368" s="64">
        <v>758</v>
      </c>
      <c r="L368" s="64">
        <v>803</v>
      </c>
      <c r="M368" s="64">
        <v>730</v>
      </c>
      <c r="N368" s="64">
        <v>834</v>
      </c>
      <c r="O368" s="64">
        <v>835</v>
      </c>
      <c r="P368" s="64">
        <v>832</v>
      </c>
      <c r="Q368" s="64">
        <v>827</v>
      </c>
      <c r="R368" s="64">
        <v>820</v>
      </c>
      <c r="S368" s="64">
        <v>819</v>
      </c>
      <c r="Y368" s="23"/>
    </row>
    <row r="369" spans="2:25" s="64" customFormat="1">
      <c r="B369" s="64" t="s">
        <v>134</v>
      </c>
      <c r="C369" s="64">
        <v>259</v>
      </c>
      <c r="D369" s="64">
        <v>228</v>
      </c>
      <c r="E369" s="64">
        <v>192</v>
      </c>
      <c r="F369" s="64">
        <v>168</v>
      </c>
      <c r="G369" s="64">
        <v>217</v>
      </c>
      <c r="H369" s="64">
        <v>248</v>
      </c>
      <c r="I369" s="27">
        <v>216</v>
      </c>
      <c r="J369" s="64">
        <v>220</v>
      </c>
      <c r="K369" s="64">
        <v>208</v>
      </c>
      <c r="L369" s="64">
        <v>213</v>
      </c>
      <c r="M369" s="64">
        <v>200</v>
      </c>
      <c r="N369" s="64">
        <v>200</v>
      </c>
      <c r="O369" s="64">
        <v>198</v>
      </c>
      <c r="P369" s="64">
        <v>200</v>
      </c>
      <c r="Q369" s="64">
        <v>195</v>
      </c>
      <c r="R369" s="64">
        <v>198</v>
      </c>
      <c r="S369" s="64">
        <v>205</v>
      </c>
      <c r="Y369" s="23"/>
    </row>
    <row r="370" spans="2:25" s="64" customFormat="1">
      <c r="B370" s="64" t="s">
        <v>100</v>
      </c>
      <c r="C370" s="64">
        <v>432</v>
      </c>
      <c r="D370" s="64">
        <v>471</v>
      </c>
      <c r="E370" s="64">
        <v>512</v>
      </c>
      <c r="F370" s="64">
        <v>517</v>
      </c>
      <c r="G370" s="64">
        <v>514</v>
      </c>
      <c r="H370" s="64">
        <v>520</v>
      </c>
      <c r="I370" s="27">
        <v>524.33333333333337</v>
      </c>
      <c r="J370" s="64">
        <v>562</v>
      </c>
      <c r="K370" s="64">
        <v>550</v>
      </c>
      <c r="L370" s="64">
        <v>590</v>
      </c>
      <c r="M370" s="64">
        <v>530</v>
      </c>
      <c r="N370" s="64">
        <v>633</v>
      </c>
      <c r="O370" s="64">
        <v>637</v>
      </c>
      <c r="P370" s="64">
        <v>632</v>
      </c>
      <c r="Q370" s="64">
        <v>632</v>
      </c>
      <c r="R370" s="64">
        <v>622</v>
      </c>
      <c r="S370" s="64">
        <v>614</v>
      </c>
      <c r="Y370" s="23"/>
    </row>
    <row r="371" spans="2:25" ht="20.25">
      <c r="B371" s="20" t="s">
        <v>101</v>
      </c>
      <c r="C371" s="61"/>
      <c r="D371" s="62"/>
      <c r="E371" s="62"/>
      <c r="F371" s="61"/>
      <c r="G371" s="61"/>
      <c r="H371" s="61"/>
      <c r="I371" s="61"/>
      <c r="K371" s="64"/>
      <c r="L371" s="64"/>
      <c r="M371" s="64"/>
      <c r="N371" s="64"/>
      <c r="O371" s="23"/>
      <c r="P371" s="23"/>
      <c r="Q371" s="64"/>
      <c r="R371" s="64"/>
      <c r="S371" s="64"/>
      <c r="T371" s="64"/>
      <c r="U371" s="64"/>
      <c r="V371" s="64"/>
      <c r="W371" s="64"/>
      <c r="X371" s="64"/>
    </row>
    <row r="372" spans="2:25" ht="20.25">
      <c r="B372" s="20" t="s">
        <v>490</v>
      </c>
      <c r="C372" s="56"/>
    </row>
    <row r="373" spans="2:25">
      <c r="B373" s="56"/>
      <c r="C373" s="56"/>
    </row>
    <row r="374" spans="2:25" ht="17.25" customHeight="1">
      <c r="B374" s="135" t="s">
        <v>169</v>
      </c>
      <c r="C374" s="135"/>
      <c r="D374" s="145" t="s">
        <v>174</v>
      </c>
      <c r="E374" s="146"/>
      <c r="F374" s="146"/>
      <c r="G374" s="146"/>
      <c r="H374" s="146"/>
      <c r="I374" s="146"/>
      <c r="J374" s="146"/>
      <c r="K374" s="146"/>
      <c r="L374" s="146"/>
      <c r="M374" s="147"/>
      <c r="N374" s="136" t="s">
        <v>380</v>
      </c>
      <c r="O374" s="136"/>
      <c r="P374" s="136"/>
      <c r="Q374" s="136"/>
      <c r="R374" s="136"/>
      <c r="S374" s="136"/>
      <c r="T374" s="136"/>
    </row>
    <row r="375" spans="2:25" ht="16.5" customHeight="1">
      <c r="B375" s="135"/>
      <c r="C375" s="135"/>
      <c r="D375" s="136" t="s">
        <v>171</v>
      </c>
      <c r="E375" s="136" t="s">
        <v>175</v>
      </c>
      <c r="F375" s="136" t="s">
        <v>172</v>
      </c>
      <c r="G375" s="135" t="s">
        <v>176</v>
      </c>
      <c r="H375" s="143" t="s">
        <v>177</v>
      </c>
      <c r="I375" s="143" t="s">
        <v>170</v>
      </c>
      <c r="J375" s="143" t="s">
        <v>191</v>
      </c>
      <c r="K375" s="143" t="s">
        <v>254</v>
      </c>
      <c r="L375" s="135" t="s">
        <v>377</v>
      </c>
      <c r="M375" s="135" t="s">
        <v>378</v>
      </c>
      <c r="N375" s="135" t="s">
        <v>379</v>
      </c>
      <c r="O375" s="135" t="s">
        <v>417</v>
      </c>
      <c r="P375" s="135" t="s">
        <v>431</v>
      </c>
      <c r="Q375" s="135" t="s">
        <v>442</v>
      </c>
      <c r="R375" s="135" t="s">
        <v>89</v>
      </c>
      <c r="S375" s="135" t="s">
        <v>127</v>
      </c>
      <c r="T375" s="135" t="s">
        <v>131</v>
      </c>
    </row>
    <row r="376" spans="2:25" ht="16.5" customHeight="1">
      <c r="B376" s="135"/>
      <c r="C376" s="135"/>
      <c r="D376" s="136"/>
      <c r="E376" s="136"/>
      <c r="F376" s="136"/>
      <c r="G376" s="136"/>
      <c r="H376" s="144"/>
      <c r="I376" s="144"/>
      <c r="J376" s="144"/>
      <c r="K376" s="144"/>
      <c r="L376" s="135"/>
      <c r="M376" s="135"/>
      <c r="N376" s="135"/>
      <c r="O376" s="135"/>
      <c r="P376" s="135"/>
      <c r="Q376" s="135"/>
      <c r="R376" s="135"/>
      <c r="S376" s="135"/>
      <c r="T376" s="135"/>
    </row>
    <row r="377" spans="2:25" ht="26.25">
      <c r="B377" s="162" t="s">
        <v>178</v>
      </c>
      <c r="C377" s="4" t="s">
        <v>21</v>
      </c>
      <c r="D377" s="17">
        <v>319.1421480007989</v>
      </c>
      <c r="E377" s="17">
        <v>402.27241951922878</v>
      </c>
      <c r="F377" s="17">
        <v>422.98539768069617</v>
      </c>
      <c r="G377" s="17">
        <v>455.21799101491166</v>
      </c>
      <c r="H377" s="17">
        <v>433.92094864315368</v>
      </c>
      <c r="I377" s="17">
        <v>526.31488409860731</v>
      </c>
      <c r="J377" s="17">
        <v>428.86401099832136</v>
      </c>
      <c r="K377" s="57">
        <v>401.87837424265211</v>
      </c>
      <c r="L377" s="57">
        <v>419.85037100994123</v>
      </c>
      <c r="M377" s="57">
        <v>476.90651239065073</v>
      </c>
      <c r="N377" s="57">
        <v>488.18794816820184</v>
      </c>
      <c r="O377" s="57">
        <v>431.23614007191162</v>
      </c>
      <c r="P377" s="57">
        <v>456.86370964067021</v>
      </c>
      <c r="Q377" s="57">
        <v>456.63781086381471</v>
      </c>
      <c r="R377" s="57">
        <v>494.99489708251878</v>
      </c>
      <c r="S377" s="57">
        <v>506.52273603108733</v>
      </c>
      <c r="T377" s="57">
        <v>489.05606876410809</v>
      </c>
    </row>
    <row r="378" spans="2:25" ht="26.25">
      <c r="B378" s="163"/>
      <c r="C378" s="4" t="s">
        <v>24</v>
      </c>
      <c r="D378" s="17">
        <v>423.23089782764271</v>
      </c>
      <c r="E378" s="17">
        <v>497.14158184691843</v>
      </c>
      <c r="F378" s="17">
        <v>495.58203408195305</v>
      </c>
      <c r="G378" s="17">
        <v>536.62376220084548</v>
      </c>
      <c r="H378" s="17">
        <v>531.35043650446539</v>
      </c>
      <c r="I378" s="17">
        <v>601.68911687097716</v>
      </c>
      <c r="J378" s="17">
        <v>483.30876567426509</v>
      </c>
      <c r="K378" s="57">
        <v>457.53535623546838</v>
      </c>
      <c r="L378" s="57">
        <v>487.48237303713478</v>
      </c>
      <c r="M378" s="57">
        <v>468.1979900726414</v>
      </c>
      <c r="N378" s="57">
        <v>593.59545339717636</v>
      </c>
      <c r="O378" s="57">
        <v>514.76041518000898</v>
      </c>
      <c r="P378" s="57">
        <v>555.87922753876808</v>
      </c>
      <c r="Q378" s="57">
        <v>585.95764399472216</v>
      </c>
      <c r="R378" s="57">
        <v>592.22737512511219</v>
      </c>
      <c r="S378" s="57">
        <v>605.20942878218989</v>
      </c>
      <c r="T378" s="57">
        <v>599.7010835736429</v>
      </c>
    </row>
    <row r="379" spans="2:25" ht="26.25">
      <c r="B379" s="164"/>
      <c r="C379" s="11"/>
      <c r="D379" s="18">
        <v>331.208055073948</v>
      </c>
      <c r="E379" s="18">
        <v>412.34646367123145</v>
      </c>
      <c r="F379" s="18">
        <v>430.04924270875006</v>
      </c>
      <c r="G379" s="18">
        <v>463.37999828693194</v>
      </c>
      <c r="H379" s="18">
        <v>445.91914153700463</v>
      </c>
      <c r="I379" s="18">
        <v>534.97995506577604</v>
      </c>
      <c r="J379" s="18">
        <v>434.50622270182629</v>
      </c>
      <c r="K379" s="58">
        <v>407.79610437745595</v>
      </c>
      <c r="L379" s="58">
        <v>426.50615236891213</v>
      </c>
      <c r="M379" s="58">
        <v>476.16201150755893</v>
      </c>
      <c r="N379" s="58">
        <v>498.5826981877035</v>
      </c>
      <c r="O379" s="58">
        <v>437.74571296864406</v>
      </c>
      <c r="P379" s="58">
        <v>467.18574194403163</v>
      </c>
      <c r="Q379" s="58">
        <v>465.25545551296</v>
      </c>
      <c r="R379" s="58">
        <v>503.54824045887921</v>
      </c>
      <c r="S379" s="58">
        <v>518.58625185705455</v>
      </c>
      <c r="T379" s="58">
        <v>497.47174082521883</v>
      </c>
    </row>
    <row r="380" spans="2:25" ht="26.25">
      <c r="B380" s="14" t="s">
        <v>179</v>
      </c>
      <c r="C380" s="10" t="s">
        <v>173</v>
      </c>
      <c r="D380" s="17">
        <v>387.8530366046931</v>
      </c>
      <c r="E380" s="17">
        <v>442.78334643907425</v>
      </c>
      <c r="F380" s="17">
        <v>446.14430694074213</v>
      </c>
      <c r="G380" s="17">
        <v>482.00325250624394</v>
      </c>
      <c r="H380" s="17">
        <v>474.26320526009715</v>
      </c>
      <c r="I380" s="17">
        <v>589.02351359724491</v>
      </c>
      <c r="J380" s="17">
        <v>466.50159420150931</v>
      </c>
      <c r="K380" s="57">
        <v>435.05355827730904</v>
      </c>
      <c r="L380" s="57">
        <v>444.60462612160939</v>
      </c>
      <c r="M380" s="57">
        <v>490.16616053979214</v>
      </c>
      <c r="N380" s="57">
        <v>491.18002909563904</v>
      </c>
      <c r="O380" s="57">
        <v>459.04959102491796</v>
      </c>
      <c r="P380" s="57">
        <v>478.93612861221135</v>
      </c>
      <c r="Q380" s="57">
        <v>513.84170166977117</v>
      </c>
      <c r="R380" s="57">
        <v>524.3556528793913</v>
      </c>
      <c r="S380" s="57">
        <v>566.06590709853231</v>
      </c>
      <c r="T380" s="57">
        <v>543.6896593315513</v>
      </c>
    </row>
    <row r="381" spans="2:25" ht="26.25" customHeight="1">
      <c r="B381" s="159" t="s">
        <v>180</v>
      </c>
      <c r="C381" s="161"/>
      <c r="D381" s="18">
        <v>338.05818940734605</v>
      </c>
      <c r="E381" s="18">
        <v>414.9123912379485</v>
      </c>
      <c r="F381" s="18">
        <v>431.39468930214957</v>
      </c>
      <c r="G381" s="18">
        <v>464.87699853063748</v>
      </c>
      <c r="H381" s="18">
        <v>449.5820466200102</v>
      </c>
      <c r="I381" s="18">
        <v>544.15987646489486</v>
      </c>
      <c r="J381" s="18">
        <v>440.69640280679624</v>
      </c>
      <c r="K381" s="58">
        <v>412.31838210071299</v>
      </c>
      <c r="L381" s="58">
        <v>429.95829043663127</v>
      </c>
      <c r="M381" s="58">
        <v>478.89030595354973</v>
      </c>
      <c r="N381" s="58">
        <v>497.30411622462691</v>
      </c>
      <c r="O381" s="58">
        <v>441.28775397453967</v>
      </c>
      <c r="P381" s="58">
        <v>469.53034133923569</v>
      </c>
      <c r="Q381" s="58">
        <v>475.48995787870189</v>
      </c>
      <c r="R381" s="58">
        <v>507.55242188016462</v>
      </c>
      <c r="S381" s="58">
        <v>528.01046397942116</v>
      </c>
      <c r="T381" s="58">
        <v>505.36406379674474</v>
      </c>
    </row>
    <row r="382" spans="2:25">
      <c r="B382" s="56"/>
      <c r="C382" s="56"/>
    </row>
    <row r="387" spans="2:3">
      <c r="B387" s="56"/>
      <c r="C387" s="56"/>
    </row>
    <row r="388" spans="2:3">
      <c r="B388" s="56"/>
      <c r="C388" s="56"/>
    </row>
    <row r="389" spans="2:3">
      <c r="B389" s="56"/>
      <c r="C389" s="56"/>
    </row>
    <row r="390" spans="2:3">
      <c r="B390" s="56"/>
      <c r="C390" s="56"/>
    </row>
    <row r="391" spans="2:3">
      <c r="B391" s="56"/>
      <c r="C391" s="56"/>
    </row>
    <row r="392" spans="2:3">
      <c r="B392" s="56"/>
      <c r="C392" s="56"/>
    </row>
    <row r="393" spans="2:3">
      <c r="B393" s="56"/>
      <c r="C393" s="56"/>
    </row>
    <row r="394" spans="2:3">
      <c r="B394" s="56"/>
      <c r="C394" s="56"/>
    </row>
    <row r="395" spans="2:3">
      <c r="B395" s="56"/>
      <c r="C395" s="56"/>
    </row>
    <row r="396" spans="2:3">
      <c r="B396" s="56"/>
      <c r="C396" s="56"/>
    </row>
    <row r="397" spans="2:3">
      <c r="B397" s="56"/>
      <c r="C397" s="56"/>
    </row>
    <row r="398" spans="2:3">
      <c r="B398" s="56"/>
      <c r="C398" s="56"/>
    </row>
    <row r="399" spans="2:3">
      <c r="B399" s="56"/>
      <c r="C399" s="56"/>
    </row>
    <row r="400" spans="2:3">
      <c r="B400" s="56"/>
      <c r="C400" s="56"/>
    </row>
    <row r="401" spans="1:25">
      <c r="B401" s="56"/>
      <c r="C401" s="56"/>
    </row>
    <row r="402" spans="1:25">
      <c r="B402" s="56"/>
      <c r="C402" s="56"/>
    </row>
    <row r="403" spans="1:25">
      <c r="B403" s="56"/>
      <c r="C403" s="56"/>
    </row>
    <row r="404" spans="1:25">
      <c r="B404" s="56"/>
      <c r="C404" s="56"/>
    </row>
    <row r="405" spans="1:25">
      <c r="A405" s="21"/>
      <c r="B405" s="87"/>
      <c r="C405" s="87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 spans="1:25">
      <c r="A406" s="69"/>
      <c r="B406" s="94"/>
      <c r="C406" s="94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</row>
    <row r="407" spans="1:25">
      <c r="A407" s="69"/>
      <c r="B407" s="94"/>
      <c r="C407" s="94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</row>
    <row r="408" spans="1:25">
      <c r="A408" s="69"/>
      <c r="B408" s="94"/>
      <c r="C408" s="94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21"/>
    </row>
    <row r="409" spans="1:25" s="69" customFormat="1">
      <c r="B409" s="94"/>
      <c r="C409" s="94"/>
    </row>
    <row r="410" spans="1:25" s="69" customFormat="1">
      <c r="B410" s="87"/>
      <c r="C410" s="87"/>
      <c r="D410" s="21"/>
      <c r="E410" s="21"/>
      <c r="F410" s="21"/>
      <c r="G410" s="21"/>
      <c r="H410" s="21"/>
      <c r="I410" s="21"/>
      <c r="J410" s="21"/>
      <c r="K410" s="21"/>
      <c r="U410" s="21"/>
      <c r="V410" s="21"/>
      <c r="W410" s="21"/>
      <c r="X410" s="21"/>
    </row>
    <row r="411" spans="1:25" s="69" customFormat="1">
      <c r="B411" s="87"/>
      <c r="C411" s="87"/>
      <c r="D411" s="21"/>
      <c r="E411" s="21"/>
      <c r="F411" s="21"/>
      <c r="G411" s="21"/>
      <c r="H411" s="21"/>
      <c r="I411" s="21"/>
      <c r="J411" s="21"/>
      <c r="K411" s="21"/>
      <c r="O411" s="21"/>
      <c r="P411" s="21"/>
      <c r="Q411" s="64"/>
      <c r="R411" s="64"/>
      <c r="S411" s="64"/>
      <c r="T411" s="64"/>
      <c r="U411" s="64"/>
      <c r="V411" s="21"/>
      <c r="W411" s="21"/>
      <c r="X411" s="21"/>
    </row>
    <row r="412" spans="1:25" s="69" customFormat="1" ht="17.25">
      <c r="B412" s="103"/>
      <c r="C412" s="104" t="s">
        <v>92</v>
      </c>
      <c r="D412" s="105" t="s">
        <v>93</v>
      </c>
      <c r="E412" s="105" t="s">
        <v>122</v>
      </c>
      <c r="F412" s="105" t="s">
        <v>94</v>
      </c>
      <c r="G412" s="105" t="s">
        <v>91</v>
      </c>
      <c r="H412" s="105" t="s">
        <v>237</v>
      </c>
      <c r="I412" s="101" t="s">
        <v>238</v>
      </c>
      <c r="J412" s="102" t="s">
        <v>185</v>
      </c>
      <c r="K412" s="71" t="s">
        <v>377</v>
      </c>
      <c r="L412" s="71" t="s">
        <v>375</v>
      </c>
      <c r="M412" s="71" t="s">
        <v>376</v>
      </c>
      <c r="N412" s="71" t="s">
        <v>97</v>
      </c>
      <c r="O412" s="70" t="s">
        <v>0</v>
      </c>
      <c r="P412" s="70" t="s">
        <v>2</v>
      </c>
      <c r="Q412" s="71" t="s">
        <v>89</v>
      </c>
      <c r="R412" s="71" t="s">
        <v>127</v>
      </c>
      <c r="S412" s="71" t="s">
        <v>128</v>
      </c>
      <c r="T412" s="71" t="s">
        <v>181</v>
      </c>
      <c r="U412" s="71" t="s">
        <v>182</v>
      </c>
      <c r="V412" s="71" t="s">
        <v>183</v>
      </c>
      <c r="W412" s="71" t="s">
        <v>184</v>
      </c>
      <c r="X412" s="64"/>
    </row>
    <row r="413" spans="1:25" s="69" customFormat="1">
      <c r="B413" s="106" t="s">
        <v>99</v>
      </c>
      <c r="C413" s="107">
        <v>593</v>
      </c>
      <c r="D413" s="108">
        <v>635</v>
      </c>
      <c r="E413" s="108">
        <v>619</v>
      </c>
      <c r="F413" s="108">
        <v>633</v>
      </c>
      <c r="G413" s="108">
        <v>671</v>
      </c>
      <c r="H413" s="108">
        <v>787</v>
      </c>
      <c r="I413" s="27">
        <v>654.5</v>
      </c>
      <c r="J413" s="109">
        <v>629</v>
      </c>
      <c r="K413" s="64">
        <v>639</v>
      </c>
      <c r="L413" s="64">
        <v>672</v>
      </c>
      <c r="M413" s="64">
        <v>641</v>
      </c>
      <c r="N413" s="64">
        <v>643</v>
      </c>
      <c r="O413" s="64">
        <v>673</v>
      </c>
      <c r="P413" s="64">
        <v>676</v>
      </c>
      <c r="Q413" s="64">
        <v>707</v>
      </c>
      <c r="R413" s="64">
        <v>731</v>
      </c>
      <c r="S413" s="64">
        <v>714</v>
      </c>
      <c r="T413" s="64"/>
      <c r="U413" s="64"/>
      <c r="V413" s="64"/>
      <c r="W413" s="64"/>
      <c r="X413" s="64"/>
    </row>
    <row r="414" spans="1:25" s="69" customFormat="1">
      <c r="B414" s="106" t="s">
        <v>134</v>
      </c>
      <c r="C414" s="107">
        <v>255</v>
      </c>
      <c r="D414" s="108">
        <v>220</v>
      </c>
      <c r="E414" s="108">
        <v>187</v>
      </c>
      <c r="F414" s="108">
        <v>168</v>
      </c>
      <c r="G414" s="108">
        <v>221</v>
      </c>
      <c r="H414" s="108">
        <v>243</v>
      </c>
      <c r="I414" s="27">
        <v>213.75</v>
      </c>
      <c r="J414" s="109">
        <v>217</v>
      </c>
      <c r="K414" s="64">
        <v>209</v>
      </c>
      <c r="L414" s="64">
        <v>193</v>
      </c>
      <c r="M414" s="64">
        <v>143</v>
      </c>
      <c r="N414" s="64">
        <v>202</v>
      </c>
      <c r="O414" s="64">
        <v>203</v>
      </c>
      <c r="P414" s="64">
        <v>201</v>
      </c>
      <c r="Q414" s="64">
        <v>200</v>
      </c>
      <c r="R414" s="64">
        <v>203</v>
      </c>
      <c r="S414" s="64">
        <v>209</v>
      </c>
      <c r="T414" s="64"/>
      <c r="U414" s="64"/>
      <c r="V414" s="64"/>
      <c r="W414" s="64"/>
      <c r="X414" s="64"/>
    </row>
    <row r="415" spans="1:25" s="69" customFormat="1" ht="17.25">
      <c r="B415" s="110" t="s">
        <v>100</v>
      </c>
      <c r="C415" s="111">
        <v>338</v>
      </c>
      <c r="D415" s="111">
        <v>415</v>
      </c>
      <c r="E415" s="111">
        <v>431</v>
      </c>
      <c r="F415" s="111">
        <v>465</v>
      </c>
      <c r="G415" s="111">
        <v>450</v>
      </c>
      <c r="H415" s="111">
        <v>544</v>
      </c>
      <c r="I415" s="27">
        <v>440.75</v>
      </c>
      <c r="J415" s="112">
        <v>412</v>
      </c>
      <c r="K415" s="64">
        <v>430</v>
      </c>
      <c r="L415" s="64">
        <v>479</v>
      </c>
      <c r="M415" s="64">
        <v>497</v>
      </c>
      <c r="N415" s="64">
        <v>441</v>
      </c>
      <c r="O415" s="64">
        <v>470</v>
      </c>
      <c r="P415" s="64">
        <v>475</v>
      </c>
      <c r="Q415" s="64">
        <v>508</v>
      </c>
      <c r="R415" s="64">
        <v>528</v>
      </c>
      <c r="S415" s="64">
        <v>505</v>
      </c>
      <c r="T415" s="64"/>
      <c r="U415" s="64"/>
      <c r="V415" s="64"/>
      <c r="W415" s="64"/>
      <c r="X415" s="64"/>
    </row>
    <row r="416" spans="1:25" s="69" customFormat="1">
      <c r="B416" s="88"/>
      <c r="C416" s="88"/>
      <c r="D416" s="64"/>
      <c r="E416" s="64"/>
      <c r="F416" s="64"/>
      <c r="G416" s="64"/>
      <c r="H416" s="64"/>
      <c r="I416" s="64"/>
      <c r="J416" s="64"/>
      <c r="K416" s="64"/>
      <c r="L416" s="64"/>
      <c r="M416" s="23"/>
      <c r="N416" s="23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21"/>
    </row>
    <row r="417" spans="1:33" s="69" customFormat="1" ht="11.25" customHeight="1">
      <c r="A417" s="23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23"/>
      <c r="P417" s="23"/>
      <c r="Q417" s="23"/>
      <c r="R417" s="64"/>
      <c r="S417" s="64"/>
      <c r="T417" s="64"/>
      <c r="U417" s="64"/>
      <c r="V417" s="64"/>
      <c r="W417" s="64"/>
      <c r="X417" s="64"/>
      <c r="Y417" s="21"/>
    </row>
    <row r="418" spans="1:33" s="69" customFormat="1">
      <c r="A418" s="23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21"/>
    </row>
    <row r="419" spans="1:33" ht="41.25">
      <c r="A419" s="59"/>
      <c r="B419" s="76" t="s">
        <v>105</v>
      </c>
      <c r="C419" s="59"/>
      <c r="D419" s="59"/>
      <c r="E419" s="59"/>
      <c r="F419" s="59"/>
      <c r="G419" s="59"/>
      <c r="H419" s="59"/>
      <c r="I419" s="59"/>
      <c r="P419" s="64"/>
      <c r="Q419" s="64"/>
      <c r="R419" s="64"/>
      <c r="S419" s="64"/>
      <c r="T419" s="64"/>
      <c r="U419" s="64"/>
      <c r="V419" s="64"/>
      <c r="W419" s="64"/>
      <c r="X419" s="64"/>
      <c r="Y419" s="64"/>
    </row>
    <row r="420" spans="1:33" ht="17.25" customHeight="1">
      <c r="A420" s="59"/>
      <c r="B420" s="82" t="s">
        <v>215</v>
      </c>
      <c r="C420" s="59"/>
      <c r="D420" s="59"/>
      <c r="E420" s="59"/>
      <c r="F420" s="59"/>
      <c r="G420" s="59"/>
      <c r="H420" s="59"/>
      <c r="I420" s="59"/>
    </row>
    <row r="421" spans="1:33" ht="16.5" customHeight="1">
      <c r="A421" s="59"/>
      <c r="B421" s="20" t="s">
        <v>483</v>
      </c>
      <c r="C421" s="59"/>
      <c r="D421" s="59"/>
      <c r="E421" s="59"/>
      <c r="F421" s="59"/>
      <c r="G421" s="59"/>
      <c r="H421" s="59"/>
      <c r="I421" s="59"/>
      <c r="J421" s="59"/>
      <c r="K421" s="59"/>
      <c r="L421" s="59"/>
    </row>
    <row r="422" spans="1:33" s="21" customFormat="1"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</row>
    <row r="423" spans="1:33" s="21" customFormat="1" ht="17.25" customHeight="1">
      <c r="B423" s="135" t="s">
        <v>223</v>
      </c>
      <c r="C423" s="135"/>
      <c r="D423" s="140" t="s">
        <v>387</v>
      </c>
      <c r="E423" s="141"/>
      <c r="F423" s="141"/>
      <c r="G423" s="141"/>
      <c r="H423" s="141"/>
      <c r="I423" s="141"/>
      <c r="J423" s="141"/>
      <c r="K423" s="141"/>
      <c r="L423" s="141"/>
      <c r="M423" s="142"/>
      <c r="N423" s="136" t="s">
        <v>348</v>
      </c>
      <c r="O423" s="136"/>
      <c r="P423" s="136"/>
      <c r="Q423" s="136"/>
      <c r="R423" s="136"/>
      <c r="S423" s="136"/>
      <c r="T423" s="136"/>
      <c r="U423"/>
      <c r="V423"/>
      <c r="W423"/>
      <c r="X423"/>
      <c r="Y423"/>
      <c r="Z423"/>
      <c r="AA423"/>
      <c r="AB423" s="136" t="s">
        <v>185</v>
      </c>
      <c r="AC423" s="136"/>
      <c r="AD423" s="136"/>
      <c r="AE423" s="136"/>
      <c r="AF423" s="136"/>
      <c r="AG423" s="136"/>
    </row>
    <row r="424" spans="1:33" s="21" customFormat="1" ht="16.5" customHeight="1">
      <c r="B424" s="135"/>
      <c r="C424" s="135"/>
      <c r="D424" s="136" t="s">
        <v>388</v>
      </c>
      <c r="E424" s="136" t="s">
        <v>390</v>
      </c>
      <c r="F424" s="136" t="s">
        <v>391</v>
      </c>
      <c r="G424" s="135" t="s">
        <v>392</v>
      </c>
      <c r="H424" s="143" t="s">
        <v>393</v>
      </c>
      <c r="I424" s="143" t="s">
        <v>394</v>
      </c>
      <c r="J424" s="143" t="s">
        <v>395</v>
      </c>
      <c r="K424" s="143" t="s">
        <v>382</v>
      </c>
      <c r="L424" s="143" t="s">
        <v>396</v>
      </c>
      <c r="M424" s="143" t="s">
        <v>397</v>
      </c>
      <c r="N424" s="139" t="s">
        <v>398</v>
      </c>
      <c r="O424" s="135" t="s">
        <v>11</v>
      </c>
      <c r="P424" s="135" t="s">
        <v>42</v>
      </c>
      <c r="Q424" s="135" t="s">
        <v>114</v>
      </c>
      <c r="R424" s="135" t="s">
        <v>457</v>
      </c>
      <c r="S424" s="135" t="s">
        <v>468</v>
      </c>
      <c r="T424" s="135" t="s">
        <v>480</v>
      </c>
      <c r="U424"/>
      <c r="V424"/>
      <c r="W424"/>
      <c r="X424"/>
      <c r="Y424"/>
      <c r="Z424"/>
      <c r="AA424"/>
      <c r="AB424" s="136" t="s">
        <v>225</v>
      </c>
      <c r="AC424" s="136" t="s">
        <v>112</v>
      </c>
      <c r="AD424" s="136" t="s">
        <v>224</v>
      </c>
      <c r="AE424" s="136" t="s">
        <v>114</v>
      </c>
      <c r="AF424" s="136" t="s">
        <v>214</v>
      </c>
      <c r="AG424" s="136" t="s">
        <v>222</v>
      </c>
    </row>
    <row r="425" spans="1:33" s="21" customFormat="1" ht="16.5" customHeight="1">
      <c r="B425" s="135"/>
      <c r="C425" s="135"/>
      <c r="D425" s="136"/>
      <c r="E425" s="136"/>
      <c r="F425" s="136"/>
      <c r="G425" s="136"/>
      <c r="H425" s="144"/>
      <c r="I425" s="144"/>
      <c r="J425" s="144"/>
      <c r="K425" s="144"/>
      <c r="L425" s="138"/>
      <c r="M425" s="138"/>
      <c r="N425" s="138"/>
      <c r="O425" s="135"/>
      <c r="P425" s="135"/>
      <c r="Q425" s="135"/>
      <c r="R425" s="135"/>
      <c r="S425" s="135"/>
      <c r="T425" s="135"/>
      <c r="U425"/>
      <c r="V425"/>
      <c r="W425"/>
      <c r="X425"/>
      <c r="Y425"/>
      <c r="Z425"/>
      <c r="AA425"/>
      <c r="AB425" s="136"/>
      <c r="AC425" s="136"/>
      <c r="AD425" s="136"/>
      <c r="AE425" s="136"/>
      <c r="AF425" s="136"/>
      <c r="AG425" s="136"/>
    </row>
    <row r="426" spans="1:33" s="21" customFormat="1" ht="26.25">
      <c r="B426" s="159" t="s">
        <v>117</v>
      </c>
      <c r="C426" s="160"/>
      <c r="D426" s="84">
        <v>1125</v>
      </c>
      <c r="E426" s="84">
        <v>1064</v>
      </c>
      <c r="F426" s="84">
        <v>1080</v>
      </c>
      <c r="G426" s="84">
        <v>1190</v>
      </c>
      <c r="H426" s="84">
        <v>1181</v>
      </c>
      <c r="I426" s="84">
        <v>1125</v>
      </c>
      <c r="J426" s="84">
        <v>1172</v>
      </c>
      <c r="K426" s="22">
        <v>1330</v>
      </c>
      <c r="L426" s="22">
        <v>1419</v>
      </c>
      <c r="M426" s="22">
        <v>1468</v>
      </c>
      <c r="N426" s="22">
        <v>1450</v>
      </c>
      <c r="O426" s="22">
        <v>1474</v>
      </c>
      <c r="P426" s="22">
        <v>1451</v>
      </c>
      <c r="Q426" s="22">
        <v>1438</v>
      </c>
      <c r="R426" s="22">
        <v>1436</v>
      </c>
      <c r="S426" s="22">
        <v>1411</v>
      </c>
      <c r="T426" s="22">
        <v>1357</v>
      </c>
      <c r="U426"/>
      <c r="V426"/>
      <c r="W426"/>
      <c r="X426"/>
      <c r="Y426"/>
      <c r="Z426"/>
      <c r="AA426"/>
      <c r="AB426" s="22">
        <v>1321.5506539295206</v>
      </c>
      <c r="AC426" s="22">
        <v>1347.1158988578959</v>
      </c>
      <c r="AD426" s="22">
        <v>1313.6165315338603</v>
      </c>
      <c r="AE426" s="22">
        <v>1320.4727879062348</v>
      </c>
      <c r="AF426" s="22">
        <v>1310.4994945485664</v>
      </c>
      <c r="AG426" s="22">
        <v>1400.0976516664832</v>
      </c>
    </row>
    <row r="427" spans="1:33" s="21" customFormat="1" ht="26.25">
      <c r="B427" s="159" t="s">
        <v>118</v>
      </c>
      <c r="C427" s="160"/>
      <c r="D427" s="84">
        <v>1503</v>
      </c>
      <c r="E427" s="84">
        <v>1459</v>
      </c>
      <c r="F427" s="84">
        <v>1372</v>
      </c>
      <c r="G427" s="84">
        <v>1329</v>
      </c>
      <c r="H427" s="84">
        <v>1318</v>
      </c>
      <c r="I427" s="84">
        <v>1292</v>
      </c>
      <c r="J427" s="84">
        <v>1530</v>
      </c>
      <c r="K427" s="22">
        <v>1751</v>
      </c>
      <c r="L427" s="22">
        <v>1811</v>
      </c>
      <c r="M427" s="22">
        <v>1901</v>
      </c>
      <c r="N427" s="22">
        <v>1853</v>
      </c>
      <c r="O427" s="22">
        <v>1808</v>
      </c>
      <c r="P427" s="22">
        <v>1792</v>
      </c>
      <c r="Q427" s="22">
        <v>1899</v>
      </c>
      <c r="R427" s="22">
        <v>1834</v>
      </c>
      <c r="S427" s="22">
        <v>1809</v>
      </c>
      <c r="T427" s="22">
        <v>1886</v>
      </c>
      <c r="U427"/>
      <c r="V427"/>
      <c r="W427"/>
      <c r="X427"/>
      <c r="Y427"/>
      <c r="Z427"/>
      <c r="AA427"/>
      <c r="AB427" s="22">
        <v>1837.5704815274853</v>
      </c>
      <c r="AC427" s="22">
        <v>1708.290048612864</v>
      </c>
      <c r="AD427" s="22">
        <v>1809.3336498533843</v>
      </c>
      <c r="AE427" s="22">
        <v>1757.6976309031691</v>
      </c>
      <c r="AF427" s="22">
        <v>1776.6436123334397</v>
      </c>
      <c r="AG427" s="22">
        <v>1800.7271031547721</v>
      </c>
    </row>
    <row r="428" spans="1:33" s="21" customFormat="1" ht="26.25">
      <c r="B428" s="159" t="s">
        <v>226</v>
      </c>
      <c r="C428" s="160"/>
      <c r="D428" s="84">
        <v>1924</v>
      </c>
      <c r="E428" s="84">
        <v>1898</v>
      </c>
      <c r="F428" s="84">
        <v>1727</v>
      </c>
      <c r="G428" s="84">
        <v>1874</v>
      </c>
      <c r="H428" s="84">
        <v>1942</v>
      </c>
      <c r="I428" s="84">
        <v>2032</v>
      </c>
      <c r="J428" s="84">
        <v>2043</v>
      </c>
      <c r="K428" s="22">
        <v>2007</v>
      </c>
      <c r="L428" s="22">
        <v>1901</v>
      </c>
      <c r="M428" s="22">
        <v>2118</v>
      </c>
      <c r="N428" s="22">
        <v>1840</v>
      </c>
      <c r="O428" s="22">
        <v>1926</v>
      </c>
      <c r="P428" s="22">
        <v>1949</v>
      </c>
      <c r="Q428" s="22">
        <v>1860</v>
      </c>
      <c r="R428" s="22">
        <v>1727</v>
      </c>
      <c r="S428" s="22">
        <v>1870</v>
      </c>
      <c r="T428" s="22">
        <v>1806</v>
      </c>
      <c r="U428"/>
      <c r="V428"/>
      <c r="W428"/>
      <c r="X428"/>
      <c r="Y428"/>
      <c r="Z428"/>
      <c r="AA428"/>
      <c r="AB428" s="22">
        <v>2086.6839296063772</v>
      </c>
      <c r="AC428" s="22">
        <v>2187.4953944613144</v>
      </c>
      <c r="AD428" s="22">
        <v>1967.0019947597871</v>
      </c>
      <c r="AE428" s="22">
        <v>2052.4990903023472</v>
      </c>
      <c r="AF428" s="22">
        <v>1982.4431942673352</v>
      </c>
      <c r="AG428" s="22">
        <v>2023.7737927155245</v>
      </c>
    </row>
    <row r="429" spans="1:33" s="21" customFormat="1" ht="26.25" customHeight="1">
      <c r="B429" s="159" t="s">
        <v>227</v>
      </c>
      <c r="C429" s="160"/>
      <c r="D429" s="84">
        <v>1212</v>
      </c>
      <c r="E429" s="84">
        <v>1324</v>
      </c>
      <c r="F429" s="84">
        <v>1251</v>
      </c>
      <c r="G429" s="84">
        <v>1029</v>
      </c>
      <c r="H429" s="84">
        <v>1150</v>
      </c>
      <c r="I429" s="84">
        <v>1183</v>
      </c>
      <c r="J429" s="84">
        <v>1219</v>
      </c>
      <c r="K429" s="22">
        <v>1275</v>
      </c>
      <c r="L429" s="22">
        <v>1282</v>
      </c>
      <c r="M429" s="22">
        <v>1324</v>
      </c>
      <c r="N429" s="22">
        <v>1377</v>
      </c>
      <c r="O429" s="22">
        <v>1342</v>
      </c>
      <c r="P429" s="22">
        <v>1297</v>
      </c>
      <c r="Q429" s="22">
        <v>1277</v>
      </c>
      <c r="R429" s="22">
        <v>1259</v>
      </c>
      <c r="S429" s="22">
        <v>1296</v>
      </c>
      <c r="T429" s="22">
        <v>1247</v>
      </c>
      <c r="U429"/>
      <c r="V429"/>
      <c r="W429"/>
      <c r="X429"/>
      <c r="Y429"/>
      <c r="Z429"/>
      <c r="AA429"/>
      <c r="AB429" s="22">
        <v>1380.1406349801632</v>
      </c>
      <c r="AC429" s="22">
        <v>1373.0786729337538</v>
      </c>
      <c r="AD429" s="22">
        <v>1332.0867506580139</v>
      </c>
      <c r="AE429" s="22">
        <v>1355.8319865822414</v>
      </c>
      <c r="AF429" s="22">
        <v>1296.8162279175974</v>
      </c>
      <c r="AG429" s="22">
        <v>1277.7690121923085</v>
      </c>
    </row>
    <row r="430" spans="1:33" s="60" customFormat="1" ht="26.25">
      <c r="B430" s="159" t="s">
        <v>121</v>
      </c>
      <c r="C430" s="160"/>
      <c r="D430" s="89">
        <v>1552</v>
      </c>
      <c r="E430" s="89">
        <v>1585</v>
      </c>
      <c r="F430" s="89">
        <v>1461</v>
      </c>
      <c r="G430" s="89">
        <v>1527</v>
      </c>
      <c r="H430" s="89">
        <v>1423</v>
      </c>
      <c r="I430" s="89">
        <v>1426</v>
      </c>
      <c r="J430" s="89">
        <v>1579</v>
      </c>
      <c r="K430" s="32">
        <v>1621</v>
      </c>
      <c r="L430" s="32">
        <v>1630</v>
      </c>
      <c r="M430" s="32">
        <v>1751</v>
      </c>
      <c r="N430" s="32">
        <v>1668</v>
      </c>
      <c r="O430" s="32">
        <v>1666</v>
      </c>
      <c r="P430" s="32">
        <v>1617</v>
      </c>
      <c r="Q430" s="32">
        <v>1558</v>
      </c>
      <c r="R430" s="32">
        <v>1567</v>
      </c>
      <c r="S430" s="32">
        <v>1642</v>
      </c>
      <c r="T430" s="32">
        <v>1675</v>
      </c>
      <c r="U430" s="90"/>
      <c r="V430" s="90"/>
      <c r="W430" s="90"/>
      <c r="X430" s="90"/>
      <c r="Y430" s="90"/>
      <c r="Z430" s="90"/>
      <c r="AA430" s="90"/>
      <c r="AB430" s="32">
        <v>1649</v>
      </c>
      <c r="AC430" s="32">
        <v>1754</v>
      </c>
      <c r="AD430" s="32">
        <v>1574</v>
      </c>
      <c r="AE430" s="32">
        <v>1610</v>
      </c>
      <c r="AF430" s="32">
        <v>1623</v>
      </c>
      <c r="AG430" s="31">
        <v>1666.9016983371121</v>
      </c>
    </row>
    <row r="431" spans="1:33" s="21" customFormat="1"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92"/>
    </row>
    <row r="432" spans="1:33" s="21" customFormat="1"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</row>
    <row r="433" spans="2:14" s="21" customFormat="1"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</row>
    <row r="434" spans="2:14" s="21" customFormat="1"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</row>
    <row r="435" spans="2:14" s="21" customFormat="1"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</row>
    <row r="436" spans="2:14" s="21" customFormat="1"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</row>
    <row r="437" spans="2:14" s="21" customFormat="1"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</row>
    <row r="438" spans="2:14" s="21" customFormat="1"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</row>
    <row r="439" spans="2:14" s="21" customFormat="1"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</row>
    <row r="440" spans="2:14" s="21" customFormat="1"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</row>
    <row r="441" spans="2:14" s="21" customFormat="1"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</row>
    <row r="442" spans="2:14" s="21" customFormat="1"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</row>
    <row r="443" spans="2:14" s="21" customFormat="1"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</row>
    <row r="444" spans="2:14" s="21" customFormat="1"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</row>
    <row r="445" spans="2:14" s="21" customFormat="1"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</row>
    <row r="446" spans="2:14" s="21" customFormat="1"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</row>
    <row r="447" spans="2:14" s="21" customFormat="1"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</row>
    <row r="448" spans="2:14" s="21" customFormat="1"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</row>
    <row r="449" spans="1:20" s="21" customFormat="1"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</row>
    <row r="450" spans="1:20" s="21" customFormat="1"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</row>
    <row r="451" spans="1:20" s="21" customFormat="1"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</row>
    <row r="452" spans="1:20" s="69" customFormat="1"/>
    <row r="453" spans="1:20" s="69" customFormat="1"/>
    <row r="454" spans="1:20" s="69" customFormat="1"/>
    <row r="455" spans="1:20" s="69" customFormat="1"/>
    <row r="456" spans="1:20" s="69" customFormat="1"/>
    <row r="457" spans="1:20" s="69" customFormat="1"/>
    <row r="458" spans="1:20" s="69" customFormat="1"/>
    <row r="459" spans="1:20" s="21" customFormat="1"/>
    <row r="460" spans="1:20" s="40" customFormat="1">
      <c r="A460" s="39"/>
      <c r="B460" s="39"/>
      <c r="C460" s="39" t="s">
        <v>220</v>
      </c>
    </row>
    <row r="461" spans="1:20" s="40" customFormat="1">
      <c r="C461" s="40" t="s">
        <v>205</v>
      </c>
      <c r="D461" s="113" t="s">
        <v>92</v>
      </c>
      <c r="E461" s="113" t="s">
        <v>93</v>
      </c>
      <c r="F461" s="113" t="s">
        <v>136</v>
      </c>
      <c r="G461" s="113" t="s">
        <v>94</v>
      </c>
      <c r="H461" s="113" t="s">
        <v>91</v>
      </c>
      <c r="I461" s="113" t="s">
        <v>152</v>
      </c>
      <c r="J461" s="113" t="s">
        <v>186</v>
      </c>
      <c r="K461" s="113" t="s">
        <v>383</v>
      </c>
      <c r="L461" s="113" t="s">
        <v>384</v>
      </c>
      <c r="M461" s="113" t="s">
        <v>385</v>
      </c>
      <c r="N461" s="113" t="s">
        <v>386</v>
      </c>
      <c r="O461" s="113" t="s">
        <v>418</v>
      </c>
      <c r="P461" s="113" t="s">
        <v>419</v>
      </c>
      <c r="Q461" s="113" t="s">
        <v>443</v>
      </c>
      <c r="R461" s="113" t="s">
        <v>458</v>
      </c>
      <c r="S461" s="113" t="s">
        <v>469</v>
      </c>
      <c r="T461" s="113" t="s">
        <v>484</v>
      </c>
    </row>
    <row r="462" spans="1:20" s="40" customFormat="1">
      <c r="C462" s="40" t="s">
        <v>98</v>
      </c>
      <c r="D462" s="40">
        <v>533</v>
      </c>
      <c r="E462" s="40">
        <v>636</v>
      </c>
      <c r="F462" s="40">
        <v>628</v>
      </c>
      <c r="G462" s="40">
        <v>536</v>
      </c>
      <c r="H462" s="40">
        <v>578</v>
      </c>
      <c r="I462" s="40">
        <v>738</v>
      </c>
      <c r="J462" s="40">
        <v>836</v>
      </c>
      <c r="K462" s="40">
        <v>772</v>
      </c>
      <c r="L462" s="40">
        <v>755</v>
      </c>
      <c r="M462" s="40">
        <v>696</v>
      </c>
      <c r="N462" s="40">
        <v>714</v>
      </c>
      <c r="O462" s="40">
        <v>708</v>
      </c>
      <c r="P462" s="40">
        <v>716</v>
      </c>
      <c r="Q462" s="40">
        <v>738</v>
      </c>
      <c r="R462" s="114">
        <v>753</v>
      </c>
      <c r="S462" s="114">
        <v>736</v>
      </c>
      <c r="T462" s="40">
        <v>761</v>
      </c>
    </row>
    <row r="463" spans="1:20" s="40" customFormat="1">
      <c r="C463" s="40" t="s">
        <v>99</v>
      </c>
      <c r="D463" s="40">
        <v>2085</v>
      </c>
      <c r="E463" s="40">
        <v>2221</v>
      </c>
      <c r="F463" s="40">
        <v>2089</v>
      </c>
      <c r="G463" s="40">
        <v>2063</v>
      </c>
      <c r="H463" s="40">
        <v>2001</v>
      </c>
      <c r="I463" s="40">
        <v>2164</v>
      </c>
      <c r="J463" s="40">
        <v>2415</v>
      </c>
      <c r="K463" s="40">
        <v>2385</v>
      </c>
      <c r="L463" s="40">
        <v>2385</v>
      </c>
      <c r="M463" s="40">
        <v>2447</v>
      </c>
      <c r="N463" s="40">
        <v>2382</v>
      </c>
      <c r="O463" s="40">
        <v>2374</v>
      </c>
      <c r="P463" s="40">
        <v>2333</v>
      </c>
      <c r="Q463" s="40">
        <v>2296</v>
      </c>
      <c r="R463" s="114">
        <v>2320</v>
      </c>
      <c r="S463" s="114">
        <v>2378</v>
      </c>
      <c r="T463" s="40">
        <v>2436</v>
      </c>
    </row>
    <row r="464" spans="1:20" s="40" customFormat="1">
      <c r="C464" s="40" t="s">
        <v>100</v>
      </c>
      <c r="D464" s="40">
        <v>1552</v>
      </c>
      <c r="E464" s="40">
        <v>1585</v>
      </c>
      <c r="F464" s="40">
        <v>1461</v>
      </c>
      <c r="G464" s="40">
        <v>1527</v>
      </c>
      <c r="H464" s="40">
        <v>1423</v>
      </c>
      <c r="I464" s="40">
        <v>1426</v>
      </c>
      <c r="J464" s="40">
        <v>1579</v>
      </c>
      <c r="K464" s="40">
        <v>1614</v>
      </c>
      <c r="L464" s="40">
        <v>1630</v>
      </c>
      <c r="M464" s="40">
        <v>1751</v>
      </c>
      <c r="N464" s="40">
        <v>1668</v>
      </c>
      <c r="O464" s="40">
        <v>1666</v>
      </c>
      <c r="P464" s="40">
        <v>1617</v>
      </c>
      <c r="Q464" s="40">
        <v>1558</v>
      </c>
      <c r="R464" s="114">
        <v>1567</v>
      </c>
      <c r="S464" s="114">
        <v>1642</v>
      </c>
      <c r="T464" s="40">
        <v>1675</v>
      </c>
    </row>
    <row r="465" spans="1:20" s="128" customFormat="1" ht="17.25">
      <c r="B465" s="129"/>
      <c r="C465" s="130"/>
      <c r="D465" s="130"/>
      <c r="E465" s="130"/>
      <c r="F465" s="130"/>
      <c r="G465" s="130"/>
      <c r="H465" s="130"/>
      <c r="I465" s="131"/>
      <c r="J465" s="132"/>
    </row>
    <row r="466" spans="1:20" ht="41.25">
      <c r="A466" s="59"/>
      <c r="B466" s="76" t="s">
        <v>148</v>
      </c>
      <c r="C466" s="59"/>
      <c r="D466" s="59"/>
      <c r="E466" s="59"/>
      <c r="F466" s="59"/>
      <c r="G466" s="59"/>
      <c r="H466" s="59"/>
      <c r="I466" s="59"/>
    </row>
    <row r="467" spans="1:20" ht="17.25" customHeight="1">
      <c r="A467" s="59"/>
      <c r="B467" s="82" t="s">
        <v>221</v>
      </c>
      <c r="C467" s="59"/>
      <c r="D467" s="59"/>
      <c r="E467" s="59"/>
      <c r="F467" s="59"/>
      <c r="G467" s="59"/>
      <c r="H467" s="59"/>
      <c r="I467" s="59"/>
    </row>
    <row r="468" spans="1:20" ht="16.5" customHeight="1">
      <c r="A468" s="59"/>
      <c r="B468" s="20" t="s">
        <v>485</v>
      </c>
      <c r="C468" s="59"/>
      <c r="D468" s="59"/>
      <c r="E468" s="59"/>
      <c r="F468" s="59"/>
      <c r="G468" s="59"/>
      <c r="H468" s="59"/>
      <c r="I468" s="59"/>
      <c r="J468" s="59"/>
      <c r="K468" s="59"/>
      <c r="L468" s="59"/>
    </row>
    <row r="469" spans="1:20" ht="16.5" customHeight="1">
      <c r="A469" s="59"/>
      <c r="B469" s="20"/>
      <c r="C469" s="59"/>
      <c r="D469" s="59"/>
      <c r="E469" s="59"/>
      <c r="F469" s="59"/>
      <c r="G469" s="59"/>
      <c r="H469" s="59"/>
      <c r="I469" s="59"/>
      <c r="J469" s="59"/>
      <c r="K469" s="59"/>
      <c r="L469" s="59"/>
    </row>
    <row r="470" spans="1:20" ht="17.25" customHeight="1">
      <c r="A470" s="59"/>
      <c r="B470" s="165" t="s">
        <v>216</v>
      </c>
      <c r="C470" s="166"/>
      <c r="D470" s="140" t="s">
        <v>387</v>
      </c>
      <c r="E470" s="141"/>
      <c r="F470" s="141"/>
      <c r="G470" s="141"/>
      <c r="H470" s="141"/>
      <c r="I470" s="141"/>
      <c r="J470" s="141"/>
      <c r="K470" s="141"/>
      <c r="L470" s="141"/>
      <c r="M470" s="142"/>
      <c r="N470" s="136" t="s">
        <v>348</v>
      </c>
      <c r="O470" s="136"/>
      <c r="P470" s="136"/>
      <c r="Q470" s="136"/>
      <c r="R470" s="136"/>
      <c r="S470" s="136"/>
      <c r="T470" s="136"/>
    </row>
    <row r="471" spans="1:20" ht="17.25" customHeight="1">
      <c r="A471" s="59"/>
      <c r="B471" s="167"/>
      <c r="C471" s="168"/>
      <c r="D471" s="136" t="s">
        <v>388</v>
      </c>
      <c r="E471" s="136" t="s">
        <v>389</v>
      </c>
      <c r="F471" s="136" t="s">
        <v>391</v>
      </c>
      <c r="G471" s="135" t="s">
        <v>392</v>
      </c>
      <c r="H471" s="143" t="s">
        <v>399</v>
      </c>
      <c r="I471" s="143" t="s">
        <v>400</v>
      </c>
      <c r="J471" s="143" t="s">
        <v>395</v>
      </c>
      <c r="K471" s="143" t="s">
        <v>401</v>
      </c>
      <c r="L471" s="143" t="s">
        <v>396</v>
      </c>
      <c r="M471" s="143" t="s">
        <v>397</v>
      </c>
      <c r="N471" s="139" t="s">
        <v>77</v>
      </c>
      <c r="O471" s="135" t="s">
        <v>11</v>
      </c>
      <c r="P471" s="135" t="s">
        <v>42</v>
      </c>
      <c r="Q471" s="135" t="s">
        <v>114</v>
      </c>
      <c r="R471" s="135" t="s">
        <v>115</v>
      </c>
      <c r="S471" s="135" t="s">
        <v>468</v>
      </c>
      <c r="T471" s="135" t="s">
        <v>481</v>
      </c>
    </row>
    <row r="472" spans="1:20" ht="16.5" customHeight="1">
      <c r="A472" s="59"/>
      <c r="B472" s="169"/>
      <c r="C472" s="170"/>
      <c r="D472" s="136"/>
      <c r="E472" s="136"/>
      <c r="F472" s="136"/>
      <c r="G472" s="136"/>
      <c r="H472" s="144"/>
      <c r="I472" s="144"/>
      <c r="J472" s="144"/>
      <c r="K472" s="144"/>
      <c r="L472" s="138"/>
      <c r="M472" s="138"/>
      <c r="N472" s="138"/>
      <c r="O472" s="135"/>
      <c r="P472" s="135"/>
      <c r="Q472" s="135"/>
      <c r="R472" s="135"/>
      <c r="S472" s="135"/>
      <c r="T472" s="135"/>
    </row>
    <row r="473" spans="1:20" ht="26.25">
      <c r="A473" s="59"/>
      <c r="B473" s="159" t="s">
        <v>116</v>
      </c>
      <c r="C473" s="160"/>
      <c r="D473" s="84"/>
      <c r="E473" s="84"/>
      <c r="F473" s="84">
        <v>3124.862100616876</v>
      </c>
      <c r="G473" s="84">
        <v>3406.2838624338619</v>
      </c>
      <c r="H473" s="84">
        <v>2939.5231764547316</v>
      </c>
      <c r="I473" s="84">
        <v>2629.363215534057</v>
      </c>
      <c r="J473" s="84">
        <v>3390.0373559262025</v>
      </c>
      <c r="K473" s="84">
        <v>3129</v>
      </c>
      <c r="L473" s="84">
        <v>2786</v>
      </c>
      <c r="M473" s="84">
        <v>3521</v>
      </c>
      <c r="N473" s="84">
        <v>2857</v>
      </c>
      <c r="O473" s="84">
        <v>2656</v>
      </c>
      <c r="P473" s="22">
        <v>3011</v>
      </c>
      <c r="Q473" s="22">
        <v>2613</v>
      </c>
      <c r="R473" s="22">
        <v>2879</v>
      </c>
      <c r="S473" s="22">
        <v>3858</v>
      </c>
      <c r="T473" s="22">
        <v>2636</v>
      </c>
    </row>
    <row r="474" spans="1:20" ht="26.25">
      <c r="A474" s="59"/>
      <c r="B474" s="159" t="s">
        <v>117</v>
      </c>
      <c r="C474" s="160"/>
      <c r="D474" s="84">
        <v>1124.7240782873821</v>
      </c>
      <c r="E474" s="84">
        <v>1064.1316365184171</v>
      </c>
      <c r="F474" s="84">
        <v>1079.7334860480178</v>
      </c>
      <c r="G474" s="84">
        <v>1190.3410375313654</v>
      </c>
      <c r="H474" s="84">
        <v>1180.5461089872797</v>
      </c>
      <c r="I474" s="84">
        <v>1124.7058244842528</v>
      </c>
      <c r="J474" s="84">
        <v>1172.2682693811635</v>
      </c>
      <c r="K474" s="84">
        <v>1330</v>
      </c>
      <c r="L474" s="22">
        <v>1419</v>
      </c>
      <c r="M474" s="22">
        <v>1468</v>
      </c>
      <c r="N474" s="84">
        <v>1450</v>
      </c>
      <c r="O474" s="22">
        <v>1474</v>
      </c>
      <c r="P474" s="22">
        <v>1451</v>
      </c>
      <c r="Q474" s="22">
        <v>1438</v>
      </c>
      <c r="R474" s="22">
        <v>1436</v>
      </c>
      <c r="S474" s="22">
        <v>1411</v>
      </c>
      <c r="T474" s="22">
        <v>1357</v>
      </c>
    </row>
    <row r="475" spans="1:20" ht="26.25">
      <c r="A475" s="59"/>
      <c r="B475" s="159" t="s">
        <v>118</v>
      </c>
      <c r="C475" s="160"/>
      <c r="D475" s="84">
        <v>1502.8030565287593</v>
      </c>
      <c r="E475" s="84">
        <v>1459.2159911148617</v>
      </c>
      <c r="F475" s="84">
        <v>1371.7195981889026</v>
      </c>
      <c r="G475" s="84">
        <v>1328.7541725359845</v>
      </c>
      <c r="H475" s="84">
        <v>1318.0833349607576</v>
      </c>
      <c r="I475" s="84">
        <v>1291.7127887139955</v>
      </c>
      <c r="J475" s="84">
        <v>1529.5537993220264</v>
      </c>
      <c r="K475" s="84">
        <v>1751</v>
      </c>
      <c r="L475" s="22">
        <v>1811</v>
      </c>
      <c r="M475" s="22">
        <v>1901</v>
      </c>
      <c r="N475" s="84">
        <v>1853</v>
      </c>
      <c r="O475" s="22">
        <v>1808</v>
      </c>
      <c r="P475" s="22">
        <v>1792</v>
      </c>
      <c r="Q475" s="22">
        <v>1899</v>
      </c>
      <c r="R475" s="22">
        <v>1834</v>
      </c>
      <c r="S475" s="22">
        <v>1809</v>
      </c>
      <c r="T475" s="22">
        <v>1886</v>
      </c>
    </row>
    <row r="476" spans="1:20" ht="26.25" customHeight="1">
      <c r="A476" s="59"/>
      <c r="B476" s="159" t="s">
        <v>217</v>
      </c>
      <c r="C476" s="160"/>
      <c r="D476" s="84">
        <v>1923.5002759480476</v>
      </c>
      <c r="E476" s="84">
        <v>1898.2080861279792</v>
      </c>
      <c r="F476" s="84">
        <v>1727.4518732196582</v>
      </c>
      <c r="G476" s="84">
        <v>1874.0023914908493</v>
      </c>
      <c r="H476" s="84">
        <v>1942.0425088722468</v>
      </c>
      <c r="I476" s="84">
        <v>2031.7780851304026</v>
      </c>
      <c r="J476" s="84">
        <v>2043.1993254807387</v>
      </c>
      <c r="K476" s="84">
        <v>2007</v>
      </c>
      <c r="L476" s="22">
        <v>1901</v>
      </c>
      <c r="M476" s="22">
        <v>2118</v>
      </c>
      <c r="N476" s="84">
        <v>1840</v>
      </c>
      <c r="O476" s="22">
        <v>1926</v>
      </c>
      <c r="P476" s="22">
        <v>1949</v>
      </c>
      <c r="Q476" s="22">
        <v>1860</v>
      </c>
      <c r="R476" s="22">
        <v>1727</v>
      </c>
      <c r="S476" s="22">
        <v>1870</v>
      </c>
      <c r="T476" s="22">
        <v>1806</v>
      </c>
    </row>
    <row r="477" spans="1:20" ht="26.25" customHeight="1">
      <c r="A477" s="59"/>
      <c r="B477" s="159" t="s">
        <v>218</v>
      </c>
      <c r="C477" s="160"/>
      <c r="D477" s="84">
        <v>1212.3606008507925</v>
      </c>
      <c r="E477" s="84">
        <v>1323.5022030144821</v>
      </c>
      <c r="F477" s="84">
        <v>1251.2789205815302</v>
      </c>
      <c r="G477" s="84">
        <v>1029.0268387583515</v>
      </c>
      <c r="H477" s="84">
        <v>1149.8261020180794</v>
      </c>
      <c r="I477" s="84">
        <v>1183.1393819323803</v>
      </c>
      <c r="J477" s="84">
        <v>1219.3571606835735</v>
      </c>
      <c r="K477" s="84">
        <v>1275</v>
      </c>
      <c r="L477" s="22">
        <v>1282</v>
      </c>
      <c r="M477" s="22">
        <v>1324</v>
      </c>
      <c r="N477" s="84">
        <v>1377</v>
      </c>
      <c r="O477" s="22">
        <v>1342</v>
      </c>
      <c r="P477" s="22">
        <v>1297</v>
      </c>
      <c r="Q477" s="22">
        <v>1277</v>
      </c>
      <c r="R477" s="22">
        <v>1259</v>
      </c>
      <c r="S477" s="22">
        <v>1296</v>
      </c>
      <c r="T477" s="22">
        <v>1247</v>
      </c>
    </row>
    <row r="478" spans="1:20" s="59" customFormat="1" ht="26.25">
      <c r="B478" s="159" t="s">
        <v>219</v>
      </c>
      <c r="C478" s="160"/>
      <c r="D478" s="89">
        <v>1552</v>
      </c>
      <c r="E478" s="89">
        <v>1585</v>
      </c>
      <c r="F478" s="89">
        <v>1466</v>
      </c>
      <c r="G478" s="89">
        <v>1530</v>
      </c>
      <c r="H478" s="89">
        <v>1426.4623466931021</v>
      </c>
      <c r="I478" s="89">
        <v>1433.2724010282259</v>
      </c>
      <c r="J478" s="89">
        <v>1589.3660831507791</v>
      </c>
      <c r="K478" s="89">
        <v>1621</v>
      </c>
      <c r="L478" s="89">
        <v>1636</v>
      </c>
      <c r="M478" s="89">
        <v>1786</v>
      </c>
      <c r="N478" s="89">
        <v>1673</v>
      </c>
      <c r="O478" s="89">
        <v>1670</v>
      </c>
      <c r="P478" s="89">
        <v>1627</v>
      </c>
      <c r="Q478" s="89">
        <v>1562</v>
      </c>
      <c r="R478" s="89">
        <v>1573</v>
      </c>
      <c r="S478" s="89">
        <v>1652</v>
      </c>
      <c r="T478" s="89">
        <v>1680</v>
      </c>
    </row>
    <row r="479" spans="1:20" ht="16.5" customHeight="1">
      <c r="A479" s="59"/>
    </row>
    <row r="480" spans="1:20">
      <c r="A480" s="59"/>
    </row>
    <row r="481" spans="1:1">
      <c r="A481" s="59"/>
    </row>
    <row r="482" spans="1:1">
      <c r="A482" s="59"/>
    </row>
    <row r="483" spans="1:1">
      <c r="A483" s="59"/>
    </row>
    <row r="484" spans="1:1">
      <c r="A484" s="59"/>
    </row>
    <row r="485" spans="1:1">
      <c r="A485" s="59"/>
    </row>
    <row r="486" spans="1:1">
      <c r="A486" s="59"/>
    </row>
    <row r="487" spans="1:1">
      <c r="A487" s="59"/>
    </row>
    <row r="488" spans="1:1">
      <c r="A488" s="59"/>
    </row>
    <row r="489" spans="1:1">
      <c r="A489" s="59"/>
    </row>
    <row r="490" spans="1:1">
      <c r="A490" s="59"/>
    </row>
    <row r="491" spans="1:1">
      <c r="A491" s="59"/>
    </row>
    <row r="492" spans="1:1">
      <c r="A492" s="59"/>
    </row>
    <row r="493" spans="1:1">
      <c r="A493" s="59"/>
    </row>
    <row r="494" spans="1:1">
      <c r="A494" s="59"/>
    </row>
    <row r="495" spans="1:1">
      <c r="A495" s="59"/>
    </row>
    <row r="496" spans="1:1">
      <c r="A496" s="59"/>
    </row>
    <row r="497" spans="1:21">
      <c r="A497" s="59"/>
    </row>
    <row r="498" spans="1:21">
      <c r="A498" s="59"/>
    </row>
    <row r="499" spans="1:21">
      <c r="A499" s="59"/>
    </row>
    <row r="500" spans="1:21">
      <c r="A500" s="59"/>
    </row>
    <row r="501" spans="1:21">
      <c r="A501" s="59"/>
    </row>
    <row r="502" spans="1:21">
      <c r="A502" s="59"/>
    </row>
    <row r="503" spans="1:21">
      <c r="A503" s="59"/>
    </row>
    <row r="504" spans="1:21" s="23" customFormat="1">
      <c r="A504" s="68"/>
    </row>
    <row r="505" spans="1:21" s="23" customFormat="1">
      <c r="A505" s="68"/>
    </row>
    <row r="506" spans="1:21" s="23" customFormat="1">
      <c r="A506" s="68"/>
    </row>
    <row r="507" spans="1:21" s="23" customFormat="1">
      <c r="A507" s="68"/>
    </row>
    <row r="508" spans="1:21" s="23" customFormat="1">
      <c r="A508" s="68"/>
      <c r="B508" s="68"/>
      <c r="C508" s="68"/>
      <c r="D508" s="68"/>
      <c r="E508" s="68"/>
      <c r="F508" s="68"/>
      <c r="G508" s="68"/>
      <c r="H508" s="68"/>
      <c r="I508" s="68"/>
    </row>
    <row r="509" spans="1:21" s="64" customFormat="1">
      <c r="A509" s="64">
        <v>2397</v>
      </c>
    </row>
    <row r="510" spans="1:21" s="64" customFormat="1">
      <c r="A510" s="64">
        <v>1633</v>
      </c>
      <c r="C510" s="64" t="s">
        <v>205</v>
      </c>
      <c r="D510" s="88" t="s">
        <v>92</v>
      </c>
      <c r="E510" s="88" t="s">
        <v>93</v>
      </c>
      <c r="F510" s="88" t="s">
        <v>136</v>
      </c>
      <c r="G510" s="88" t="s">
        <v>94</v>
      </c>
      <c r="H510" s="88" t="s">
        <v>91</v>
      </c>
      <c r="I510" s="88" t="s">
        <v>152</v>
      </c>
      <c r="J510" s="88" t="s">
        <v>186</v>
      </c>
      <c r="K510" s="55" t="s">
        <v>382</v>
      </c>
      <c r="L510" s="55" t="s">
        <v>384</v>
      </c>
      <c r="M510" s="113" t="s">
        <v>402</v>
      </c>
      <c r="N510" s="113" t="s">
        <v>403</v>
      </c>
      <c r="O510" s="113" t="s">
        <v>418</v>
      </c>
      <c r="P510" s="113" t="s">
        <v>419</v>
      </c>
      <c r="Q510" s="113" t="s">
        <v>443</v>
      </c>
      <c r="R510" s="113" t="s">
        <v>458</v>
      </c>
      <c r="S510" s="113" t="s">
        <v>470</v>
      </c>
      <c r="T510" s="113" t="s">
        <v>484</v>
      </c>
      <c r="U510" s="71"/>
    </row>
    <row r="511" spans="1:21" s="64" customFormat="1">
      <c r="C511" s="64" t="s">
        <v>98</v>
      </c>
      <c r="D511" s="64">
        <v>533</v>
      </c>
      <c r="E511" s="64">
        <v>636</v>
      </c>
      <c r="F511" s="64">
        <v>628</v>
      </c>
      <c r="G511" s="64">
        <v>537</v>
      </c>
      <c r="H511" s="64">
        <v>579</v>
      </c>
      <c r="I511" s="64">
        <v>742</v>
      </c>
      <c r="J511" s="64">
        <v>838</v>
      </c>
      <c r="K511" s="64">
        <v>774</v>
      </c>
      <c r="L511" s="64">
        <v>758</v>
      </c>
      <c r="M511" s="64">
        <v>705</v>
      </c>
      <c r="N511" s="64">
        <v>716</v>
      </c>
      <c r="O511" s="64">
        <v>710</v>
      </c>
      <c r="P511" s="64">
        <v>720</v>
      </c>
      <c r="Q511" s="64">
        <v>741</v>
      </c>
      <c r="R511" s="64">
        <v>757</v>
      </c>
      <c r="S511" s="64">
        <v>738</v>
      </c>
      <c r="T511" s="64">
        <v>764</v>
      </c>
    </row>
    <row r="512" spans="1:21" s="64" customFormat="1">
      <c r="C512" s="64" t="s">
        <v>99</v>
      </c>
      <c r="D512" s="64">
        <v>2085</v>
      </c>
      <c r="E512" s="64">
        <v>2221</v>
      </c>
      <c r="F512" s="64">
        <v>2094</v>
      </c>
      <c r="G512" s="64">
        <v>2067</v>
      </c>
      <c r="H512" s="64">
        <v>2005</v>
      </c>
      <c r="I512" s="64">
        <v>2175</v>
      </c>
      <c r="J512" s="64">
        <v>2427</v>
      </c>
      <c r="K512" s="64">
        <v>2396</v>
      </c>
      <c r="L512" s="64">
        <v>2394</v>
      </c>
      <c r="M512" s="64">
        <v>2492</v>
      </c>
      <c r="N512" s="64">
        <v>2390</v>
      </c>
      <c r="O512" s="64">
        <v>2380</v>
      </c>
      <c r="P512" s="64">
        <v>2347</v>
      </c>
      <c r="Q512" s="64">
        <v>2303</v>
      </c>
      <c r="R512" s="115">
        <v>2330</v>
      </c>
      <c r="S512" s="64">
        <v>2390</v>
      </c>
      <c r="T512" s="64">
        <v>2444</v>
      </c>
    </row>
    <row r="513" spans="1:20" s="64" customFormat="1">
      <c r="C513" s="64" t="s">
        <v>100</v>
      </c>
      <c r="D513" s="64">
        <v>1552</v>
      </c>
      <c r="E513" s="64">
        <v>1585</v>
      </c>
      <c r="F513" s="64">
        <v>1466</v>
      </c>
      <c r="G513" s="64">
        <v>1530</v>
      </c>
      <c r="H513" s="64">
        <v>1426</v>
      </c>
      <c r="I513" s="64">
        <v>1433</v>
      </c>
      <c r="J513" s="64">
        <v>1589</v>
      </c>
      <c r="K513" s="64">
        <v>1621</v>
      </c>
      <c r="L513" s="64">
        <v>1636</v>
      </c>
      <c r="M513" s="64">
        <v>1786</v>
      </c>
      <c r="N513" s="64">
        <v>1673</v>
      </c>
      <c r="O513" s="64">
        <v>1670</v>
      </c>
      <c r="P513" s="64">
        <v>1627</v>
      </c>
      <c r="Q513" s="64">
        <v>1562</v>
      </c>
      <c r="R513" s="115">
        <v>1573</v>
      </c>
      <c r="S513" s="64">
        <v>1652</v>
      </c>
      <c r="T513" s="64">
        <v>1680</v>
      </c>
    </row>
    <row r="514" spans="1:20" s="64" customFormat="1"/>
    <row r="515" spans="1:20" s="64" customFormat="1" ht="16.5" customHeight="1">
      <c r="A515" s="60"/>
      <c r="B515" s="60"/>
      <c r="C515" s="134"/>
      <c r="D515" s="134"/>
      <c r="E515" s="134"/>
      <c r="F515" s="134"/>
      <c r="G515" s="134"/>
      <c r="H515" s="134"/>
      <c r="I515" s="134"/>
    </row>
    <row r="516" spans="1:20" ht="34.5" customHeight="1">
      <c r="A516" s="68"/>
      <c r="B516" s="76" t="s">
        <v>150</v>
      </c>
      <c r="C516" s="74"/>
      <c r="D516" s="74"/>
      <c r="E516" s="74"/>
      <c r="F516" s="74"/>
      <c r="G516" s="74"/>
      <c r="H516" s="74"/>
      <c r="I516" s="74"/>
      <c r="J516" s="75"/>
      <c r="K516" s="75"/>
      <c r="L516" s="75"/>
      <c r="M516" s="75"/>
      <c r="N516" s="64"/>
      <c r="O516" s="64"/>
      <c r="P516" s="64"/>
      <c r="Q516" s="64"/>
      <c r="R516" s="64"/>
    </row>
    <row r="517" spans="1:20" ht="17.25" customHeight="1">
      <c r="A517" s="59"/>
      <c r="B517" s="20" t="s">
        <v>151</v>
      </c>
      <c r="C517" s="59"/>
      <c r="D517" s="59"/>
      <c r="E517" s="59"/>
      <c r="F517" s="59"/>
      <c r="G517" s="59"/>
      <c r="H517" s="59"/>
      <c r="I517" s="59"/>
    </row>
    <row r="518" spans="1:20" ht="20.25">
      <c r="A518" s="59"/>
      <c r="B518" s="20" t="s">
        <v>486</v>
      </c>
      <c r="C518" s="59"/>
      <c r="D518" s="59"/>
      <c r="E518" s="59"/>
      <c r="F518" s="59"/>
      <c r="G518" s="59"/>
      <c r="H518" s="59"/>
      <c r="I518" s="59"/>
    </row>
    <row r="519" spans="1:20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</row>
    <row r="520" spans="1:20" ht="17.25">
      <c r="A520" s="59"/>
      <c r="B520" s="135" t="s">
        <v>188</v>
      </c>
      <c r="C520" s="135"/>
      <c r="D520" s="140" t="s">
        <v>387</v>
      </c>
      <c r="E520" s="141"/>
      <c r="F520" s="141"/>
      <c r="G520" s="141"/>
      <c r="H520" s="141"/>
      <c r="I520" s="141"/>
      <c r="J520" s="141"/>
      <c r="K520" s="141"/>
      <c r="L520" s="141"/>
      <c r="M520" s="142"/>
      <c r="N520" s="136" t="s">
        <v>348</v>
      </c>
      <c r="O520" s="136"/>
      <c r="P520" s="136"/>
      <c r="Q520" s="136"/>
      <c r="R520" s="136"/>
      <c r="S520" s="136"/>
      <c r="T520" s="136"/>
    </row>
    <row r="521" spans="1:20" ht="17.25" customHeight="1">
      <c r="A521" s="59"/>
      <c r="B521" s="135"/>
      <c r="C521" s="135"/>
      <c r="D521" s="136" t="s">
        <v>388</v>
      </c>
      <c r="E521" s="136" t="s">
        <v>389</v>
      </c>
      <c r="F521" s="136" t="s">
        <v>391</v>
      </c>
      <c r="G521" s="135" t="s">
        <v>392</v>
      </c>
      <c r="H521" s="143" t="s">
        <v>393</v>
      </c>
      <c r="I521" s="143" t="s">
        <v>400</v>
      </c>
      <c r="J521" s="143" t="s">
        <v>395</v>
      </c>
      <c r="K521" s="143" t="s">
        <v>401</v>
      </c>
      <c r="L521" s="143" t="s">
        <v>396</v>
      </c>
      <c r="M521" s="143" t="s">
        <v>397</v>
      </c>
      <c r="N521" s="139" t="s">
        <v>77</v>
      </c>
      <c r="O521" s="135" t="s">
        <v>11</v>
      </c>
      <c r="P521" s="135" t="s">
        <v>42</v>
      </c>
      <c r="Q521" s="135" t="s">
        <v>114</v>
      </c>
      <c r="R521" s="135" t="s">
        <v>115</v>
      </c>
      <c r="S521" s="135" t="s">
        <v>130</v>
      </c>
      <c r="T521" s="135" t="s">
        <v>482</v>
      </c>
    </row>
    <row r="522" spans="1:20" ht="17.25" customHeight="1">
      <c r="A522" s="59"/>
      <c r="B522" s="135"/>
      <c r="C522" s="135"/>
      <c r="D522" s="136"/>
      <c r="E522" s="136"/>
      <c r="F522" s="136"/>
      <c r="G522" s="136"/>
      <c r="H522" s="144"/>
      <c r="I522" s="144"/>
      <c r="J522" s="144"/>
      <c r="K522" s="144"/>
      <c r="L522" s="138"/>
      <c r="M522" s="138"/>
      <c r="N522" s="138"/>
      <c r="O522" s="135"/>
      <c r="P522" s="135"/>
      <c r="Q522" s="135"/>
      <c r="R522" s="135"/>
      <c r="S522" s="135"/>
      <c r="T522" s="135"/>
    </row>
    <row r="523" spans="1:20" ht="26.25" customHeight="1">
      <c r="A523" s="59"/>
      <c r="B523" s="159" t="s">
        <v>116</v>
      </c>
      <c r="C523" s="160"/>
      <c r="D523" s="22"/>
      <c r="E523" s="22"/>
      <c r="F523" s="22"/>
      <c r="G523" s="22">
        <v>3569.0818086627914</v>
      </c>
      <c r="H523" s="22">
        <v>3573.1872246017401</v>
      </c>
      <c r="I523" s="22">
        <v>2950.866182572614</v>
      </c>
      <c r="J523" s="22">
        <v>3930.0729129557058</v>
      </c>
      <c r="K523" s="22">
        <v>3411</v>
      </c>
      <c r="L523" s="22">
        <v>3695</v>
      </c>
      <c r="M523" s="22">
        <v>6912</v>
      </c>
      <c r="N523" s="22"/>
      <c r="O523" s="22"/>
      <c r="P523" s="22"/>
      <c r="Q523" s="22">
        <v>3849</v>
      </c>
      <c r="R523" s="22"/>
      <c r="S523" s="22"/>
      <c r="T523" s="22"/>
    </row>
    <row r="524" spans="1:20" ht="26.25">
      <c r="A524" s="59"/>
      <c r="B524" s="159" t="s">
        <v>118</v>
      </c>
      <c r="C524" s="160"/>
      <c r="D524" s="22">
        <v>1292.0567244905985</v>
      </c>
      <c r="E524" s="22">
        <v>1338.3385766135584</v>
      </c>
      <c r="F524" s="22">
        <v>1220.7710763466985</v>
      </c>
      <c r="G524" s="22">
        <v>1217.0482778652167</v>
      </c>
      <c r="H524" s="22">
        <v>979.95353506503488</v>
      </c>
      <c r="I524" s="22">
        <v>1146.1892439556723</v>
      </c>
      <c r="J524" s="22">
        <v>1532.1047877796173</v>
      </c>
      <c r="K524" s="22">
        <v>1533</v>
      </c>
      <c r="L524" s="22">
        <v>1550</v>
      </c>
      <c r="M524" s="22">
        <v>1510</v>
      </c>
      <c r="N524" s="22">
        <v>1396</v>
      </c>
      <c r="O524" s="22">
        <v>1356</v>
      </c>
      <c r="P524" s="22">
        <v>1502</v>
      </c>
      <c r="Q524" s="22">
        <v>1520</v>
      </c>
      <c r="R524" s="22">
        <v>1298</v>
      </c>
      <c r="S524" s="22">
        <v>1321</v>
      </c>
      <c r="T524" s="22">
        <v>1283</v>
      </c>
    </row>
    <row r="525" spans="1:20" ht="26.25">
      <c r="A525" s="59"/>
      <c r="B525" s="159" t="s">
        <v>119</v>
      </c>
      <c r="C525" s="160"/>
      <c r="D525" s="15">
        <v>1056.3486485136759</v>
      </c>
      <c r="E525" s="15">
        <v>1038.9385088393642</v>
      </c>
      <c r="F525" s="15">
        <v>1308.2863695959372</v>
      </c>
      <c r="G525" s="15">
        <v>1442.2046842002746</v>
      </c>
      <c r="H525" s="15">
        <v>1311.5063084427279</v>
      </c>
      <c r="I525" s="15">
        <v>1468.858230688031</v>
      </c>
      <c r="J525" s="15">
        <v>1526.5617844253861</v>
      </c>
      <c r="K525" s="15">
        <v>1636</v>
      </c>
      <c r="L525" s="15">
        <v>1748</v>
      </c>
      <c r="M525" s="15">
        <v>2006</v>
      </c>
      <c r="N525" s="15">
        <v>1868</v>
      </c>
      <c r="O525" s="15">
        <v>1923</v>
      </c>
      <c r="P525" s="15">
        <v>1836</v>
      </c>
      <c r="Q525" s="15">
        <v>1776</v>
      </c>
      <c r="R525" s="15">
        <v>1851</v>
      </c>
      <c r="S525" s="15">
        <v>1907</v>
      </c>
      <c r="T525" s="15">
        <v>2001</v>
      </c>
    </row>
    <row r="526" spans="1:20" ht="26.25">
      <c r="A526" s="59"/>
      <c r="B526" s="159" t="s">
        <v>120</v>
      </c>
      <c r="C526" s="160"/>
      <c r="D526" s="15">
        <v>1128.1217245298037</v>
      </c>
      <c r="E526" s="15">
        <v>1201.872468381561</v>
      </c>
      <c r="F526" s="15">
        <v>1038.2029613344414</v>
      </c>
      <c r="G526" s="15">
        <v>987.00696657634592</v>
      </c>
      <c r="H526" s="15">
        <v>983.8715055882891</v>
      </c>
      <c r="I526" s="15">
        <v>1121.1955411655522</v>
      </c>
      <c r="J526" s="15">
        <v>1308.208929367197</v>
      </c>
      <c r="K526" s="15">
        <v>1494</v>
      </c>
      <c r="L526" s="15">
        <v>1538</v>
      </c>
      <c r="M526" s="15">
        <v>1618</v>
      </c>
      <c r="N526" s="15">
        <v>1752</v>
      </c>
      <c r="O526" s="15">
        <v>1777</v>
      </c>
      <c r="P526" s="15">
        <v>1624</v>
      </c>
      <c r="Q526" s="15">
        <v>1644</v>
      </c>
      <c r="R526" s="15">
        <v>1711</v>
      </c>
      <c r="S526" s="15">
        <v>1795</v>
      </c>
      <c r="T526" s="15">
        <v>1832</v>
      </c>
    </row>
    <row r="527" spans="1:20" s="59" customFormat="1" ht="26.25">
      <c r="B527" s="159" t="s">
        <v>121</v>
      </c>
      <c r="C527" s="160"/>
      <c r="D527" s="32">
        <v>1095.9303805031448</v>
      </c>
      <c r="E527" s="32">
        <v>1155.5364168652814</v>
      </c>
      <c r="F527" s="32">
        <v>1167.0578371352217</v>
      </c>
      <c r="G527" s="32">
        <v>1129.3628392714529</v>
      </c>
      <c r="H527" s="32">
        <v>1029.0373619197817</v>
      </c>
      <c r="I527" s="32">
        <v>1182.5522117201069</v>
      </c>
      <c r="J527" s="32">
        <v>1455.4980613711903</v>
      </c>
      <c r="K527" s="32">
        <v>1596</v>
      </c>
      <c r="L527" s="32">
        <v>1833</v>
      </c>
      <c r="M527" s="32">
        <v>1838</v>
      </c>
      <c r="N527" s="32">
        <v>2179</v>
      </c>
      <c r="O527" s="32">
        <v>2033</v>
      </c>
      <c r="P527" s="32">
        <v>1937</v>
      </c>
      <c r="Q527" s="32">
        <v>1625</v>
      </c>
      <c r="R527" s="32">
        <v>1667</v>
      </c>
      <c r="S527" s="32">
        <v>1678</v>
      </c>
      <c r="T527" s="32">
        <v>1702</v>
      </c>
    </row>
    <row r="528" spans="1:20">
      <c r="A528" s="59"/>
      <c r="B528" s="59"/>
      <c r="C528" s="59"/>
      <c r="D528" s="59"/>
      <c r="E528" s="59"/>
      <c r="F528" s="59"/>
      <c r="G528" s="59"/>
      <c r="H528" s="59"/>
      <c r="I528" s="59"/>
    </row>
    <row r="529" spans="1:18">
      <c r="A529" s="59"/>
      <c r="B529" s="59"/>
      <c r="C529" s="59"/>
      <c r="D529" s="59"/>
      <c r="E529" s="59"/>
      <c r="F529" s="59"/>
      <c r="G529" s="59"/>
      <c r="H529" s="59"/>
      <c r="I529" s="59"/>
    </row>
    <row r="530" spans="1:18">
      <c r="A530" s="59"/>
      <c r="B530" s="59"/>
      <c r="C530" s="59"/>
      <c r="D530" s="59"/>
      <c r="E530" s="59"/>
      <c r="F530" s="59"/>
      <c r="G530" s="59"/>
      <c r="H530" s="59"/>
      <c r="I530" s="59"/>
    </row>
    <row r="531" spans="1:18">
      <c r="A531" s="59"/>
      <c r="B531" s="59"/>
      <c r="C531" s="59"/>
      <c r="D531" s="59"/>
      <c r="E531" s="59"/>
      <c r="F531" s="59"/>
      <c r="G531" s="59"/>
      <c r="H531" s="59"/>
      <c r="I531" s="59"/>
    </row>
    <row r="532" spans="1:18">
      <c r="A532" s="59"/>
      <c r="B532" s="59"/>
      <c r="C532" s="59"/>
      <c r="D532" s="59"/>
      <c r="E532" s="59"/>
      <c r="F532" s="59"/>
      <c r="G532" s="59"/>
      <c r="H532" s="59"/>
      <c r="I532" s="59"/>
    </row>
    <row r="533" spans="1:18">
      <c r="A533" s="59"/>
      <c r="B533" s="59"/>
      <c r="C533" s="59"/>
      <c r="D533" s="59"/>
      <c r="E533" s="59"/>
      <c r="F533" s="59"/>
      <c r="G533" s="59"/>
      <c r="H533" s="59"/>
      <c r="I533" s="59"/>
    </row>
    <row r="534" spans="1:18">
      <c r="A534" s="59"/>
      <c r="B534" s="59"/>
      <c r="C534" s="59"/>
      <c r="D534" s="59"/>
      <c r="E534" s="59"/>
      <c r="F534" s="59"/>
      <c r="G534" s="59"/>
      <c r="H534" s="59"/>
      <c r="I534" s="59"/>
    </row>
    <row r="535" spans="1:18">
      <c r="A535" s="59"/>
      <c r="B535" s="59"/>
      <c r="C535" s="59"/>
      <c r="D535" s="59"/>
      <c r="E535" s="59"/>
      <c r="F535" s="59"/>
      <c r="G535" s="59"/>
      <c r="H535" s="59"/>
      <c r="I535" s="59"/>
    </row>
    <row r="536" spans="1:18">
      <c r="A536" s="59"/>
      <c r="B536" s="59"/>
      <c r="C536" s="59"/>
      <c r="D536" s="59"/>
      <c r="E536" s="59"/>
      <c r="F536" s="59"/>
      <c r="G536" s="59"/>
      <c r="H536" s="59"/>
      <c r="I536" s="59"/>
    </row>
    <row r="537" spans="1:18">
      <c r="A537" s="59"/>
      <c r="B537" s="59"/>
      <c r="C537" s="59"/>
      <c r="D537" s="59"/>
      <c r="E537" s="59"/>
      <c r="F537" s="59"/>
      <c r="G537" s="59"/>
      <c r="H537" s="59"/>
      <c r="I537" s="59"/>
    </row>
    <row r="538" spans="1:18">
      <c r="A538" s="59"/>
      <c r="B538" s="59"/>
      <c r="C538" s="59"/>
      <c r="D538" s="59"/>
      <c r="E538" s="59"/>
      <c r="F538" s="59"/>
      <c r="G538" s="59"/>
      <c r="H538" s="59"/>
      <c r="I538" s="59"/>
    </row>
    <row r="539" spans="1:18">
      <c r="A539" s="59"/>
      <c r="B539" s="59"/>
      <c r="C539" s="59"/>
      <c r="D539" s="59"/>
      <c r="E539" s="59"/>
      <c r="F539" s="59"/>
      <c r="G539" s="59"/>
      <c r="H539" s="59"/>
      <c r="I539" s="59"/>
    </row>
    <row r="540" spans="1:18">
      <c r="A540" s="59"/>
      <c r="B540" s="59"/>
      <c r="C540" s="59"/>
      <c r="D540" s="59"/>
      <c r="E540" s="59"/>
      <c r="F540" s="59"/>
      <c r="G540" s="59"/>
      <c r="H540" s="59"/>
      <c r="I540" s="59"/>
    </row>
    <row r="541" spans="1:18">
      <c r="A541" s="59"/>
      <c r="B541" s="59"/>
      <c r="C541" s="59"/>
      <c r="D541" s="59"/>
      <c r="E541" s="59"/>
      <c r="F541" s="59"/>
      <c r="G541" s="59"/>
      <c r="H541" s="59"/>
      <c r="I541" s="59"/>
    </row>
    <row r="542" spans="1:18">
      <c r="A542" s="59"/>
      <c r="B542" s="59"/>
      <c r="C542" s="59"/>
      <c r="D542" s="59"/>
      <c r="E542" s="59"/>
      <c r="F542" s="59"/>
      <c r="G542" s="59"/>
      <c r="H542" s="59"/>
      <c r="I542" s="59"/>
    </row>
    <row r="543" spans="1:18">
      <c r="A543" s="59"/>
      <c r="B543" s="59"/>
      <c r="C543" s="59"/>
      <c r="D543" s="59"/>
      <c r="E543" s="59"/>
      <c r="F543" s="59"/>
      <c r="G543" s="59"/>
      <c r="H543" s="59"/>
      <c r="I543" s="59"/>
    </row>
    <row r="544" spans="1:18" s="23" customFormat="1">
      <c r="A544" s="59"/>
      <c r="B544" s="59"/>
      <c r="C544" s="59"/>
      <c r="D544" s="59"/>
      <c r="E544" s="59"/>
      <c r="F544" s="59"/>
      <c r="G544" s="59"/>
      <c r="H544" s="59"/>
      <c r="I544" s="59"/>
      <c r="J544" s="19"/>
      <c r="K544" s="19"/>
      <c r="L544" s="19"/>
      <c r="M544" s="19"/>
      <c r="N544" s="19"/>
      <c r="O544" s="19"/>
      <c r="P544" s="19"/>
      <c r="Q544" s="19"/>
      <c r="R544" s="19"/>
    </row>
    <row r="545" spans="1:38" s="23" customFormat="1">
      <c r="A545" s="59"/>
      <c r="B545" s="59"/>
      <c r="C545" s="59"/>
      <c r="D545" s="59"/>
      <c r="E545" s="59"/>
      <c r="F545" s="59"/>
      <c r="G545" s="59"/>
      <c r="H545" s="59"/>
      <c r="I545" s="59"/>
      <c r="J545" s="19"/>
      <c r="K545" s="19"/>
      <c r="L545" s="19"/>
      <c r="M545" s="19"/>
      <c r="N545" s="19"/>
      <c r="O545" s="19"/>
      <c r="P545" s="19"/>
      <c r="Q545" s="19"/>
      <c r="R545" s="19"/>
    </row>
    <row r="546" spans="1:38" s="23" customFormat="1">
      <c r="A546" s="59"/>
      <c r="B546" s="59"/>
      <c r="C546" s="59"/>
      <c r="D546" s="59"/>
      <c r="E546" s="59"/>
      <c r="F546" s="59"/>
      <c r="G546" s="59"/>
      <c r="H546" s="59"/>
      <c r="I546" s="59"/>
      <c r="J546" s="19"/>
      <c r="K546" s="19"/>
      <c r="L546" s="19"/>
      <c r="M546" s="19"/>
      <c r="N546" s="19"/>
      <c r="O546" s="19"/>
      <c r="P546" s="19"/>
      <c r="Q546" s="19"/>
      <c r="R546" s="19"/>
    </row>
    <row r="547" spans="1:38" s="23" customFormat="1">
      <c r="A547" s="59"/>
      <c r="B547" s="59"/>
      <c r="C547" s="59"/>
      <c r="D547" s="59"/>
      <c r="E547" s="59"/>
      <c r="F547" s="59"/>
      <c r="G547" s="59"/>
      <c r="H547" s="59"/>
      <c r="I547" s="59"/>
      <c r="J547" s="19"/>
      <c r="K547" s="19"/>
      <c r="L547" s="19"/>
      <c r="M547" s="19"/>
      <c r="N547" s="19"/>
      <c r="O547" s="19"/>
      <c r="P547" s="19"/>
      <c r="Q547" s="19"/>
      <c r="R547" s="19"/>
    </row>
    <row r="548" spans="1:38" s="23" customFormat="1">
      <c r="A548" s="68"/>
      <c r="B548" s="68"/>
      <c r="C548" s="68"/>
      <c r="D548" s="68"/>
      <c r="E548" s="68"/>
      <c r="F548" s="68"/>
      <c r="G548" s="68"/>
      <c r="H548" s="68"/>
      <c r="I548" s="68"/>
    </row>
    <row r="549" spans="1:38" s="23" customFormat="1">
      <c r="A549" s="68"/>
      <c r="B549" s="68"/>
      <c r="C549" s="68"/>
      <c r="D549" s="68"/>
      <c r="E549" s="68"/>
      <c r="F549" s="68"/>
      <c r="G549" s="68"/>
      <c r="H549" s="68"/>
      <c r="I549" s="68"/>
    </row>
    <row r="550" spans="1:38" s="23" customFormat="1">
      <c r="A550" s="68"/>
      <c r="B550" s="68"/>
      <c r="C550" s="68"/>
      <c r="D550" s="68"/>
      <c r="E550" s="68"/>
      <c r="F550" s="68"/>
      <c r="G550" s="68"/>
      <c r="H550" s="68"/>
      <c r="I550" s="68"/>
    </row>
    <row r="551" spans="1:38" s="23" customFormat="1">
      <c r="A551" s="68"/>
      <c r="B551" s="68"/>
      <c r="C551" s="68"/>
      <c r="D551" s="68"/>
      <c r="E551" s="68"/>
      <c r="F551" s="68"/>
      <c r="G551" s="68"/>
      <c r="H551" s="68"/>
      <c r="I551" s="68"/>
    </row>
    <row r="552" spans="1:38" s="23" customFormat="1">
      <c r="A552" s="68"/>
      <c r="B552" s="68"/>
      <c r="C552" s="68"/>
      <c r="D552" s="68"/>
      <c r="E552" s="68"/>
      <c r="F552" s="68"/>
      <c r="G552" s="68"/>
      <c r="H552" s="68"/>
      <c r="I552" s="68"/>
    </row>
    <row r="553" spans="1:38" s="93" customFormat="1">
      <c r="A553" s="133"/>
      <c r="B553" s="133"/>
      <c r="C553" s="133"/>
      <c r="D553" s="133"/>
      <c r="E553" s="133"/>
      <c r="F553" s="133"/>
      <c r="G553" s="133"/>
      <c r="H553" s="133"/>
      <c r="I553" s="133"/>
    </row>
    <row r="554" spans="1:38" s="93" customForma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AC554" s="93">
        <v>1419</v>
      </c>
      <c r="AD554" s="93">
        <v>1347</v>
      </c>
      <c r="AE554" s="93">
        <v>1538</v>
      </c>
      <c r="AF554" s="93">
        <v>1441</v>
      </c>
      <c r="AG554" s="93">
        <v>1522</v>
      </c>
      <c r="AH554" s="93">
        <v>1655</v>
      </c>
      <c r="AI554" s="93">
        <v>1641</v>
      </c>
      <c r="AJ554" s="93">
        <v>1523</v>
      </c>
      <c r="AK554" s="93">
        <v>1500</v>
      </c>
      <c r="AL554" s="93">
        <v>1605</v>
      </c>
    </row>
    <row r="555" spans="1:38" s="93" customFormat="1">
      <c r="A555" s="40"/>
      <c r="B555" s="40" t="s">
        <v>137</v>
      </c>
      <c r="C555" s="40" t="s">
        <v>92</v>
      </c>
      <c r="D555" s="40" t="s">
        <v>93</v>
      </c>
      <c r="E555" s="40" t="s">
        <v>136</v>
      </c>
      <c r="F555" s="40" t="s">
        <v>94</v>
      </c>
      <c r="G555" s="40" t="s">
        <v>91</v>
      </c>
      <c r="H555" s="40" t="s">
        <v>152</v>
      </c>
      <c r="I555" s="40" t="s">
        <v>186</v>
      </c>
      <c r="J555" s="55" t="s">
        <v>382</v>
      </c>
      <c r="K555" s="55" t="s">
        <v>384</v>
      </c>
      <c r="L555" s="55" t="s">
        <v>385</v>
      </c>
      <c r="M555" s="113" t="s">
        <v>403</v>
      </c>
      <c r="N555" s="113" t="s">
        <v>418</v>
      </c>
      <c r="O555" s="113" t="s">
        <v>419</v>
      </c>
      <c r="P555" s="113" t="s">
        <v>443</v>
      </c>
      <c r="Q555" s="113" t="s">
        <v>458</v>
      </c>
      <c r="R555" s="113" t="s">
        <v>471</v>
      </c>
      <c r="S555" s="113" t="s">
        <v>487</v>
      </c>
      <c r="T555" s="40"/>
      <c r="U555" s="40"/>
      <c r="V555" s="40"/>
    </row>
    <row r="556" spans="1:38" s="93" customFormat="1">
      <c r="A556" s="40"/>
      <c r="B556" s="40" t="s">
        <v>98</v>
      </c>
      <c r="C556" s="40">
        <v>519</v>
      </c>
      <c r="D556" s="40">
        <v>623</v>
      </c>
      <c r="E556" s="40">
        <v>664</v>
      </c>
      <c r="F556" s="40">
        <v>561</v>
      </c>
      <c r="G556" s="40">
        <v>600</v>
      </c>
      <c r="H556" s="40">
        <v>721</v>
      </c>
      <c r="I556" s="40">
        <v>816</v>
      </c>
      <c r="J556" s="40">
        <v>781</v>
      </c>
      <c r="K556" s="40">
        <v>759</v>
      </c>
      <c r="L556" s="40">
        <v>681</v>
      </c>
      <c r="M556" s="40">
        <v>757</v>
      </c>
      <c r="N556" s="40">
        <v>724</v>
      </c>
      <c r="O556" s="40">
        <v>714</v>
      </c>
      <c r="P556" s="40">
        <v>697</v>
      </c>
      <c r="Q556" s="114">
        <v>745</v>
      </c>
      <c r="R556" s="40">
        <v>768</v>
      </c>
      <c r="S556" s="40">
        <v>801</v>
      </c>
      <c r="T556" s="40"/>
      <c r="U556" s="40"/>
      <c r="V556" s="40"/>
    </row>
    <row r="557" spans="1:38" s="93" customFormat="1">
      <c r="A557" s="40"/>
      <c r="B557" s="40" t="s">
        <v>99</v>
      </c>
      <c r="C557" s="40">
        <v>1615</v>
      </c>
      <c r="D557" s="40">
        <v>1779</v>
      </c>
      <c r="E557" s="40">
        <v>1831</v>
      </c>
      <c r="F557" s="40">
        <v>1691</v>
      </c>
      <c r="G557" s="40">
        <v>1572</v>
      </c>
      <c r="H557" s="40">
        <v>1903</v>
      </c>
      <c r="I557" s="40">
        <v>2271</v>
      </c>
      <c r="J557" s="40">
        <v>2377</v>
      </c>
      <c r="K557" s="40">
        <v>2591</v>
      </c>
      <c r="L557" s="40">
        <v>2519</v>
      </c>
      <c r="M557" s="40">
        <v>2936</v>
      </c>
      <c r="N557" s="40">
        <v>2757</v>
      </c>
      <c r="O557" s="40">
        <v>2651</v>
      </c>
      <c r="P557" s="40">
        <v>2322</v>
      </c>
      <c r="Q557" s="114">
        <v>2412</v>
      </c>
      <c r="R557" s="40">
        <v>2447</v>
      </c>
      <c r="S557" s="40">
        <v>2503</v>
      </c>
      <c r="T557" s="40"/>
      <c r="U557" s="40"/>
      <c r="V557" s="40"/>
    </row>
    <row r="558" spans="1:38" s="93" customFormat="1">
      <c r="A558" s="40"/>
      <c r="B558" s="40" t="s">
        <v>100</v>
      </c>
      <c r="C558" s="40">
        <v>1096</v>
      </c>
      <c r="D558" s="40">
        <v>1156</v>
      </c>
      <c r="E558" s="40">
        <v>1167</v>
      </c>
      <c r="F558" s="40">
        <v>1129</v>
      </c>
      <c r="G558" s="40">
        <v>1029</v>
      </c>
      <c r="H558" s="40">
        <v>1183</v>
      </c>
      <c r="I558" s="40">
        <v>1455</v>
      </c>
      <c r="J558" s="40">
        <v>1596</v>
      </c>
      <c r="K558" s="40">
        <v>1833</v>
      </c>
      <c r="L558" s="40">
        <v>1838</v>
      </c>
      <c r="M558" s="40">
        <v>2179</v>
      </c>
      <c r="N558" s="40">
        <v>2033</v>
      </c>
      <c r="O558" s="40">
        <v>1937</v>
      </c>
      <c r="P558" s="40">
        <v>1625</v>
      </c>
      <c r="Q558" s="114">
        <v>1667</v>
      </c>
      <c r="R558" s="40">
        <v>1678</v>
      </c>
      <c r="S558" s="40">
        <v>1702</v>
      </c>
      <c r="T558" s="40"/>
      <c r="U558" s="40"/>
      <c r="V558" s="40"/>
    </row>
    <row r="559" spans="1:38" s="93" customForma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</row>
    <row r="560" spans="1:38" s="93" customForma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</row>
    <row r="561" spans="1:22" s="93" customForma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</row>
    <row r="562" spans="1:22" s="93" customForma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</row>
    <row r="563" spans="1:22" s="93" customForma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</row>
    <row r="564" spans="1:22" s="40" customFormat="1"/>
    <row r="565" spans="1:22" s="93" customForma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</row>
    <row r="566" spans="1:22" s="23" customForma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</row>
    <row r="567" spans="1:22" s="23" customForma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</row>
    <row r="568" spans="1:22" s="23" customForma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</row>
    <row r="569" spans="1:22" s="23" customForma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</row>
    <row r="570" spans="1:22" s="23" customFormat="1"/>
    <row r="571" spans="1:22" s="23" customFormat="1"/>
  </sheetData>
  <mergeCells count="381">
    <mergeCell ref="AF186:AF187"/>
    <mergeCell ref="Y185:AF185"/>
    <mergeCell ref="AF223:AF224"/>
    <mergeCell ref="Y222:AF222"/>
    <mergeCell ref="AF258:AF259"/>
    <mergeCell ref="Y257:AF257"/>
    <mergeCell ref="N7:T7"/>
    <mergeCell ref="T42:T43"/>
    <mergeCell ref="N41:T41"/>
    <mergeCell ref="T79:T80"/>
    <mergeCell ref="N78:T78"/>
    <mergeCell ref="T114:T115"/>
    <mergeCell ref="N113:T113"/>
    <mergeCell ref="AF151:AF152"/>
    <mergeCell ref="Y150:AF150"/>
    <mergeCell ref="S42:S43"/>
    <mergeCell ref="S79:S80"/>
    <mergeCell ref="S114:S115"/>
    <mergeCell ref="Y151:Y152"/>
    <mergeCell ref="S8:S9"/>
    <mergeCell ref="T8:T9"/>
    <mergeCell ref="N8:N9"/>
    <mergeCell ref="AE151:AE152"/>
    <mergeCell ref="AE186:AE187"/>
    <mergeCell ref="R42:R43"/>
    <mergeCell ref="R79:R80"/>
    <mergeCell ref="R114:R115"/>
    <mergeCell ref="N471:N472"/>
    <mergeCell ref="S258:S259"/>
    <mergeCell ref="Q258:Q259"/>
    <mergeCell ref="R186:R187"/>
    <mergeCell ref="S186:S187"/>
    <mergeCell ref="Q186:Q187"/>
    <mergeCell ref="M222:X222"/>
    <mergeCell ref="S295:S296"/>
    <mergeCell ref="S336:S337"/>
    <mergeCell ref="S375:S376"/>
    <mergeCell ref="P471:P472"/>
    <mergeCell ref="X151:X152"/>
    <mergeCell ref="W151:W152"/>
    <mergeCell ref="V151:V152"/>
    <mergeCell ref="P79:P80"/>
    <mergeCell ref="P114:P115"/>
    <mergeCell ref="T295:T296"/>
    <mergeCell ref="N294:T294"/>
    <mergeCell ref="V186:V187"/>
    <mergeCell ref="V223:V224"/>
    <mergeCell ref="V258:V259"/>
    <mergeCell ref="U186:U187"/>
    <mergeCell ref="O521:O522"/>
    <mergeCell ref="AA186:AA187"/>
    <mergeCell ref="AA223:AA224"/>
    <mergeCell ref="AA258:AA259"/>
    <mergeCell ref="X223:X224"/>
    <mergeCell ref="X258:X259"/>
    <mergeCell ref="R258:R259"/>
    <mergeCell ref="W186:W187"/>
    <mergeCell ref="R424:R425"/>
    <mergeCell ref="W223:W224"/>
    <mergeCell ref="T258:T259"/>
    <mergeCell ref="T186:T187"/>
    <mergeCell ref="P521:P522"/>
    <mergeCell ref="Z223:Z224"/>
    <mergeCell ref="Q424:Q425"/>
    <mergeCell ref="O471:O472"/>
    <mergeCell ref="O258:O259"/>
    <mergeCell ref="P186:P187"/>
    <mergeCell ref="R471:R472"/>
    <mergeCell ref="T336:T337"/>
    <mergeCell ref="R521:R522"/>
    <mergeCell ref="Q471:Q472"/>
    <mergeCell ref="Q521:Q522"/>
    <mergeCell ref="O295:O296"/>
    <mergeCell ref="O336:O337"/>
    <mergeCell ref="P258:P259"/>
    <mergeCell ref="X186:X187"/>
    <mergeCell ref="Z258:Z259"/>
    <mergeCell ref="M257:X257"/>
    <mergeCell ref="U258:U259"/>
    <mergeCell ref="P223:P224"/>
    <mergeCell ref="Z186:Z187"/>
    <mergeCell ref="M223:M224"/>
    <mergeCell ref="S471:S472"/>
    <mergeCell ref="S521:S522"/>
    <mergeCell ref="M471:M472"/>
    <mergeCell ref="M424:M425"/>
    <mergeCell ref="M336:M337"/>
    <mergeCell ref="T424:T425"/>
    <mergeCell ref="N423:T423"/>
    <mergeCell ref="T471:T472"/>
    <mergeCell ref="N470:T470"/>
    <mergeCell ref="N521:N522"/>
    <mergeCell ref="W258:W259"/>
    <mergeCell ref="D335:M335"/>
    <mergeCell ref="D295:D296"/>
    <mergeCell ref="M295:M296"/>
    <mergeCell ref="L336:L337"/>
    <mergeCell ref="J336:J337"/>
    <mergeCell ref="L295:L296"/>
    <mergeCell ref="J295:J296"/>
    <mergeCell ref="I295:I296"/>
    <mergeCell ref="K295:K296"/>
    <mergeCell ref="F295:F296"/>
    <mergeCell ref="G295:G296"/>
    <mergeCell ref="J471:J472"/>
    <mergeCell ref="J424:J425"/>
    <mergeCell ref="D471:D472"/>
    <mergeCell ref="E471:E472"/>
    <mergeCell ref="G471:G472"/>
    <mergeCell ref="H295:H296"/>
    <mergeCell ref="K336:K337"/>
    <mergeCell ref="R8:R9"/>
    <mergeCell ref="Q42:Q43"/>
    <mergeCell ref="Q79:Q80"/>
    <mergeCell ref="Q114:Q115"/>
    <mergeCell ref="M375:M376"/>
    <mergeCell ref="D294:M294"/>
    <mergeCell ref="O8:O9"/>
    <mergeCell ref="O42:O43"/>
    <mergeCell ref="O79:O80"/>
    <mergeCell ref="O114:O115"/>
    <mergeCell ref="N42:N43"/>
    <mergeCell ref="N79:N80"/>
    <mergeCell ref="N114:N115"/>
    <mergeCell ref="N151:N152"/>
    <mergeCell ref="P8:P9"/>
    <mergeCell ref="Q8:Q9"/>
    <mergeCell ref="P42:P43"/>
    <mergeCell ref="B116:C116"/>
    <mergeCell ref="U223:U224"/>
    <mergeCell ref="R223:R224"/>
    <mergeCell ref="S223:S224"/>
    <mergeCell ref="T223:T224"/>
    <mergeCell ref="O186:O187"/>
    <mergeCell ref="O223:O224"/>
    <mergeCell ref="Q223:Q224"/>
    <mergeCell ref="H151:H152"/>
    <mergeCell ref="N186:N187"/>
    <mergeCell ref="R151:R152"/>
    <mergeCell ref="N223:N224"/>
    <mergeCell ref="M151:M152"/>
    <mergeCell ref="S151:S152"/>
    <mergeCell ref="T151:T152"/>
    <mergeCell ref="O151:O152"/>
    <mergeCell ref="U151:U152"/>
    <mergeCell ref="P151:P152"/>
    <mergeCell ref="Q151:Q152"/>
    <mergeCell ref="L223:L224"/>
    <mergeCell ref="I223:I224"/>
    <mergeCell ref="J223:J224"/>
    <mergeCell ref="K223:K224"/>
    <mergeCell ref="H223:H224"/>
    <mergeCell ref="F521:F522"/>
    <mergeCell ref="B154:C154"/>
    <mergeCell ref="D185:L185"/>
    <mergeCell ref="K186:K187"/>
    <mergeCell ref="E151:E152"/>
    <mergeCell ref="J186:J187"/>
    <mergeCell ref="M79:M80"/>
    <mergeCell ref="M114:M115"/>
    <mergeCell ref="M42:M43"/>
    <mergeCell ref="F223:F224"/>
    <mergeCell ref="G223:G224"/>
    <mergeCell ref="L79:L80"/>
    <mergeCell ref="E79:E80"/>
    <mergeCell ref="K79:K80"/>
    <mergeCell ref="K114:K115"/>
    <mergeCell ref="L114:L115"/>
    <mergeCell ref="H79:H80"/>
    <mergeCell ref="I42:I43"/>
    <mergeCell ref="G79:G80"/>
    <mergeCell ref="D150:L150"/>
    <mergeCell ref="K42:K43"/>
    <mergeCell ref="B185:C187"/>
    <mergeCell ref="D186:D187"/>
    <mergeCell ref="E42:E43"/>
    <mergeCell ref="G521:G522"/>
    <mergeCell ref="D520:M520"/>
    <mergeCell ref="L521:L522"/>
    <mergeCell ref="K471:K472"/>
    <mergeCell ref="D424:D425"/>
    <mergeCell ref="E424:E425"/>
    <mergeCell ref="F424:F425"/>
    <mergeCell ref="G424:G425"/>
    <mergeCell ref="H424:H425"/>
    <mergeCell ref="I424:I425"/>
    <mergeCell ref="J521:J522"/>
    <mergeCell ref="E521:E522"/>
    <mergeCell ref="I521:I522"/>
    <mergeCell ref="I471:I472"/>
    <mergeCell ref="H471:H472"/>
    <mergeCell ref="D521:D522"/>
    <mergeCell ref="F471:F472"/>
    <mergeCell ref="M521:M522"/>
    <mergeCell ref="K424:K425"/>
    <mergeCell ref="K521:K522"/>
    <mergeCell ref="L424:L425"/>
    <mergeCell ref="D470:M470"/>
    <mergeCell ref="L471:L472"/>
    <mergeCell ref="H521:H522"/>
    <mergeCell ref="B335:C337"/>
    <mergeCell ref="B527:C527"/>
    <mergeCell ref="B523:C523"/>
    <mergeCell ref="B524:C524"/>
    <mergeCell ref="B525:C525"/>
    <mergeCell ref="B520:C522"/>
    <mergeCell ref="B477:C477"/>
    <mergeCell ref="B526:C526"/>
    <mergeCell ref="B478:C478"/>
    <mergeCell ref="B470:C472"/>
    <mergeCell ref="B473:C473"/>
    <mergeCell ref="B475:C475"/>
    <mergeCell ref="B476:C476"/>
    <mergeCell ref="B430:C430"/>
    <mergeCell ref="B423:C425"/>
    <mergeCell ref="B377:B379"/>
    <mergeCell ref="B474:C474"/>
    <mergeCell ref="B381:C381"/>
    <mergeCell ref="B298:C298"/>
    <mergeCell ref="B338:B340"/>
    <mergeCell ref="B342:C342"/>
    <mergeCell ref="B429:C429"/>
    <mergeCell ref="B426:C426"/>
    <mergeCell ref="B428:C428"/>
    <mergeCell ref="B427:C427"/>
    <mergeCell ref="B374:C376"/>
    <mergeCell ref="D8:D9"/>
    <mergeCell ref="B83:C83"/>
    <mergeCell ref="D151:D152"/>
    <mergeCell ref="B7:C9"/>
    <mergeCell ref="B150:C152"/>
    <mergeCell ref="B81:C81"/>
    <mergeCell ref="B10:C10"/>
    <mergeCell ref="B78:C80"/>
    <mergeCell ref="B117:C117"/>
    <mergeCell ref="B118:C118"/>
    <mergeCell ref="B82:C82"/>
    <mergeCell ref="D7:M7"/>
    <mergeCell ref="D41:M41"/>
    <mergeCell ref="D78:M78"/>
    <mergeCell ref="D113:M113"/>
    <mergeCell ref="M150:X150"/>
    <mergeCell ref="B260:C260"/>
    <mergeCell ref="B261:C261"/>
    <mergeCell ref="F151:F152"/>
    <mergeCell ref="B262:C262"/>
    <mergeCell ref="B294:C296"/>
    <mergeCell ref="E295:E296"/>
    <mergeCell ref="M258:M259"/>
    <mergeCell ref="N258:N259"/>
    <mergeCell ref="K151:K152"/>
    <mergeCell ref="B190:C190"/>
    <mergeCell ref="L186:L187"/>
    <mergeCell ref="M186:M187"/>
    <mergeCell ref="K258:K259"/>
    <mergeCell ref="H258:H259"/>
    <mergeCell ref="B155:C155"/>
    <mergeCell ref="B227:C227"/>
    <mergeCell ref="B257:C259"/>
    <mergeCell ref="B225:C225"/>
    <mergeCell ref="B226:C226"/>
    <mergeCell ref="B222:C224"/>
    <mergeCell ref="D223:D224"/>
    <mergeCell ref="E223:E224"/>
    <mergeCell ref="D222:L222"/>
    <mergeCell ref="G258:G259"/>
    <mergeCell ref="AE424:AE425"/>
    <mergeCell ref="AF424:AF425"/>
    <mergeCell ref="AG424:AG425"/>
    <mergeCell ref="N295:N296"/>
    <mergeCell ref="N336:N337"/>
    <mergeCell ref="N375:N376"/>
    <mergeCell ref="N424:N425"/>
    <mergeCell ref="O424:O425"/>
    <mergeCell ref="P424:P425"/>
    <mergeCell ref="P336:P337"/>
    <mergeCell ref="P375:P376"/>
    <mergeCell ref="P295:P296"/>
    <mergeCell ref="R336:R337"/>
    <mergeCell ref="R375:R376"/>
    <mergeCell ref="Q295:Q296"/>
    <mergeCell ref="Q336:Q337"/>
    <mergeCell ref="Q375:Q376"/>
    <mergeCell ref="O375:O376"/>
    <mergeCell ref="S424:S425"/>
    <mergeCell ref="N335:T335"/>
    <mergeCell ref="T375:T376"/>
    <mergeCell ref="N374:T374"/>
    <mergeCell ref="L151:L152"/>
    <mergeCell ref="J151:J152"/>
    <mergeCell ref="I151:I152"/>
    <mergeCell ref="D258:D259"/>
    <mergeCell ref="G151:G152"/>
    <mergeCell ref="B153:C153"/>
    <mergeCell ref="E186:E187"/>
    <mergeCell ref="B189:C189"/>
    <mergeCell ref="B188:C188"/>
    <mergeCell ref="F186:F187"/>
    <mergeCell ref="G186:G187"/>
    <mergeCell ref="E258:E259"/>
    <mergeCell ref="I186:I187"/>
    <mergeCell ref="H186:H187"/>
    <mergeCell ref="F258:F259"/>
    <mergeCell ref="J258:J259"/>
    <mergeCell ref="I258:I259"/>
    <mergeCell ref="L258:L259"/>
    <mergeCell ref="D257:L257"/>
    <mergeCell ref="L42:L43"/>
    <mergeCell ref="E8:E9"/>
    <mergeCell ref="H8:H9"/>
    <mergeCell ref="H42:H43"/>
    <mergeCell ref="F42:F43"/>
    <mergeCell ref="J42:J43"/>
    <mergeCell ref="L8:L9"/>
    <mergeCell ref="M8:M9"/>
    <mergeCell ref="I8:I9"/>
    <mergeCell ref="G8:G9"/>
    <mergeCell ref="K8:K9"/>
    <mergeCell ref="J8:J9"/>
    <mergeCell ref="F8:F9"/>
    <mergeCell ref="G42:G43"/>
    <mergeCell ref="B11:C11"/>
    <mergeCell ref="F114:F115"/>
    <mergeCell ref="G114:G115"/>
    <mergeCell ref="H114:H115"/>
    <mergeCell ref="J114:J115"/>
    <mergeCell ref="I114:I115"/>
    <mergeCell ref="B12:C12"/>
    <mergeCell ref="I79:I80"/>
    <mergeCell ref="D79:D80"/>
    <mergeCell ref="B44:C44"/>
    <mergeCell ref="B45:C45"/>
    <mergeCell ref="B46:C46"/>
    <mergeCell ref="B41:C43"/>
    <mergeCell ref="D42:D43"/>
    <mergeCell ref="F79:F80"/>
    <mergeCell ref="D114:D115"/>
    <mergeCell ref="E114:E115"/>
    <mergeCell ref="J79:J80"/>
    <mergeCell ref="B113:C115"/>
    <mergeCell ref="K375:K376"/>
    <mergeCell ref="D374:M374"/>
    <mergeCell ref="I336:I337"/>
    <mergeCell ref="D423:M423"/>
    <mergeCell ref="E336:E337"/>
    <mergeCell ref="G336:G337"/>
    <mergeCell ref="L375:L376"/>
    <mergeCell ref="D336:D337"/>
    <mergeCell ref="J375:J376"/>
    <mergeCell ref="E375:E376"/>
    <mergeCell ref="G375:G376"/>
    <mergeCell ref="H375:H376"/>
    <mergeCell ref="F375:F376"/>
    <mergeCell ref="I375:I376"/>
    <mergeCell ref="D375:D376"/>
    <mergeCell ref="H336:H337"/>
    <mergeCell ref="F336:F337"/>
    <mergeCell ref="T521:T522"/>
    <mergeCell ref="N520:T520"/>
    <mergeCell ref="AE223:AE224"/>
    <mergeCell ref="AE258:AE259"/>
    <mergeCell ref="R295:R296"/>
    <mergeCell ref="M185:X185"/>
    <mergeCell ref="AB258:AB259"/>
    <mergeCell ref="AA151:AA152"/>
    <mergeCell ref="Z151:Z152"/>
    <mergeCell ref="AD151:AD152"/>
    <mergeCell ref="AC151:AC152"/>
    <mergeCell ref="AB151:AB152"/>
    <mergeCell ref="AD186:AD187"/>
    <mergeCell ref="AD223:AD224"/>
    <mergeCell ref="AD258:AD259"/>
    <mergeCell ref="AC186:AC187"/>
    <mergeCell ref="AC223:AC224"/>
    <mergeCell ref="AC258:AC259"/>
    <mergeCell ref="AB186:AB187"/>
    <mergeCell ref="AB223:AB224"/>
    <mergeCell ref="AB423:AG423"/>
    <mergeCell ref="AB424:AB425"/>
    <mergeCell ref="AC424:AC425"/>
    <mergeCell ref="AD424:AD425"/>
  </mergeCells>
  <phoneticPr fontId="3" type="noConversion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P54"/>
  <sheetViews>
    <sheetView showGridLines="0" zoomScale="85" zoomScaleNormal="85" workbookViewId="0">
      <selection activeCell="G24" sqref="G24"/>
    </sheetView>
  </sheetViews>
  <sheetFormatPr defaultRowHeight="16.5"/>
  <cols>
    <col min="2" max="2" width="8.875" customWidth="1"/>
    <col min="3" max="3" width="9.125" customWidth="1"/>
    <col min="4" max="21" width="15.625" customWidth="1"/>
  </cols>
  <sheetData>
    <row r="3" spans="40:42" ht="21.75" customHeight="1"/>
    <row r="8" spans="40:42" ht="13.9" customHeight="1"/>
    <row r="9" spans="40:42" ht="16.149999999999999" customHeight="1"/>
    <row r="10" spans="40:42" ht="24.95" customHeight="1"/>
    <row r="11" spans="40:42" ht="24.95" customHeight="1"/>
    <row r="12" spans="40:42" ht="20.100000000000001" customHeight="1"/>
    <row r="13" spans="40:42" ht="16.5" customHeight="1">
      <c r="AN13">
        <v>770</v>
      </c>
      <c r="AO13">
        <v>756</v>
      </c>
      <c r="AP13">
        <v>764</v>
      </c>
    </row>
    <row r="17" ht="16.5" customHeight="1"/>
    <row r="18" ht="16.5" customHeight="1"/>
    <row r="19" ht="17.25" customHeight="1"/>
    <row r="21" ht="16.5" customHeight="1"/>
    <row r="22" ht="16.5" customHeight="1"/>
    <row r="27" ht="16.5" customHeight="1"/>
    <row r="28" ht="16.5" customHeight="1"/>
    <row r="34" spans="2:30" ht="17.25" customHeight="1"/>
    <row r="40" spans="2:30" s="39" customFormat="1"/>
    <row r="41" spans="2:30" s="39" customFormat="1"/>
    <row r="42" spans="2:30" s="39" customFormat="1"/>
    <row r="43" spans="2:30" s="39" customFormat="1"/>
    <row r="44" spans="2:30" s="40" customFormat="1"/>
    <row r="45" spans="2:30" hidden="1">
      <c r="B45" s="171" t="s">
        <v>12</v>
      </c>
      <c r="C45" s="171"/>
      <c r="D45" s="172" t="s">
        <v>27</v>
      </c>
      <c r="E45" s="173"/>
      <c r="F45" s="176"/>
      <c r="G45" s="172" t="s">
        <v>38</v>
      </c>
      <c r="H45" s="173"/>
      <c r="I45" s="176"/>
      <c r="J45" s="172" t="s">
        <v>39</v>
      </c>
      <c r="K45" s="173"/>
      <c r="L45" s="176"/>
      <c r="M45" s="172" t="s">
        <v>40</v>
      </c>
      <c r="N45" s="173"/>
      <c r="O45" s="173"/>
      <c r="P45" s="172" t="s">
        <v>41</v>
      </c>
      <c r="Q45" s="173"/>
      <c r="R45" s="173"/>
      <c r="S45" s="171" t="s">
        <v>14</v>
      </c>
      <c r="T45" s="171"/>
      <c r="U45" s="171"/>
      <c r="V45" s="172" t="s">
        <v>15</v>
      </c>
      <c r="W45" s="173"/>
      <c r="X45" s="173"/>
      <c r="Y45" s="171" t="s">
        <v>42</v>
      </c>
      <c r="Z45" s="171"/>
      <c r="AA45" s="171"/>
      <c r="AB45" s="171" t="s">
        <v>16</v>
      </c>
      <c r="AC45" s="171"/>
      <c r="AD45" s="171"/>
    </row>
    <row r="46" spans="2:30" ht="27" hidden="1">
      <c r="B46" s="171"/>
      <c r="C46" s="171"/>
      <c r="D46" s="3" t="s">
        <v>19</v>
      </c>
      <c r="E46" s="3" t="s">
        <v>28</v>
      </c>
      <c r="F46" s="3" t="s">
        <v>18</v>
      </c>
      <c r="G46" s="3" t="s">
        <v>19</v>
      </c>
      <c r="H46" s="3" t="s">
        <v>28</v>
      </c>
      <c r="I46" s="3" t="s">
        <v>43</v>
      </c>
      <c r="J46" s="3" t="s">
        <v>44</v>
      </c>
      <c r="K46" s="3" t="s">
        <v>45</v>
      </c>
      <c r="L46" s="3" t="s">
        <v>18</v>
      </c>
      <c r="M46" s="3" t="s">
        <v>44</v>
      </c>
      <c r="N46" s="3" t="s">
        <v>45</v>
      </c>
      <c r="O46" s="3" t="s">
        <v>18</v>
      </c>
      <c r="P46" s="3" t="s">
        <v>46</v>
      </c>
      <c r="Q46" s="3" t="s">
        <v>45</v>
      </c>
      <c r="R46" s="3" t="s">
        <v>18</v>
      </c>
      <c r="S46" s="3" t="s">
        <v>47</v>
      </c>
      <c r="T46" s="3" t="s">
        <v>48</v>
      </c>
      <c r="U46" s="3" t="s">
        <v>18</v>
      </c>
      <c r="V46" s="3" t="s">
        <v>19</v>
      </c>
      <c r="W46" s="3" t="s">
        <v>48</v>
      </c>
      <c r="X46" s="3" t="s">
        <v>43</v>
      </c>
      <c r="Y46" s="3" t="s">
        <v>19</v>
      </c>
      <c r="Z46" s="3" t="s">
        <v>48</v>
      </c>
      <c r="AA46" s="3" t="s">
        <v>18</v>
      </c>
      <c r="AB46" s="3" t="s">
        <v>19</v>
      </c>
      <c r="AC46" s="3" t="s">
        <v>28</v>
      </c>
      <c r="AD46" s="3" t="s">
        <v>18</v>
      </c>
    </row>
    <row r="47" spans="2:30" ht="17.25" hidden="1">
      <c r="B47" s="13" t="s">
        <v>1</v>
      </c>
      <c r="C47" s="10" t="s">
        <v>1</v>
      </c>
      <c r="D47" s="1">
        <v>1229.8640586922161</v>
      </c>
      <c r="E47" s="6">
        <v>579.16898860174899</v>
      </c>
      <c r="F47" s="1">
        <f>D47-E47</f>
        <v>650.69507009046708</v>
      </c>
      <c r="G47" s="1">
        <v>1274.8982414448103</v>
      </c>
      <c r="H47" s="6">
        <v>731.86071529852995</v>
      </c>
      <c r="I47" s="1">
        <f>G47-H47</f>
        <v>543.03752614628036</v>
      </c>
      <c r="J47" s="1">
        <v>1286.4269073010987</v>
      </c>
      <c r="K47" s="6">
        <v>699.34554070367312</v>
      </c>
      <c r="L47" s="1">
        <f>J47-K47</f>
        <v>587.08136659742559</v>
      </c>
      <c r="M47" s="1">
        <v>1282.1130299715815</v>
      </c>
      <c r="N47" s="5">
        <v>550.3778948665389</v>
      </c>
      <c r="O47" s="1">
        <f>M47-N47</f>
        <v>731.73513510504256</v>
      </c>
      <c r="P47" s="1">
        <v>1256.2124698207842</v>
      </c>
      <c r="Q47" s="6">
        <v>516</v>
      </c>
      <c r="R47" s="1">
        <f>P47-Q47</f>
        <v>740.21246982078424</v>
      </c>
      <c r="S47" s="1">
        <v>1258.0132173927475</v>
      </c>
      <c r="T47" s="5">
        <v>501.96282857071958</v>
      </c>
      <c r="U47" s="1">
        <f>S47-T47</f>
        <v>756.05038882202791</v>
      </c>
      <c r="V47" s="1">
        <v>1270.5888928815566</v>
      </c>
      <c r="W47" s="5">
        <v>506.97170878601361</v>
      </c>
      <c r="X47" s="1">
        <f>V47-W47</f>
        <v>763.61718409554305</v>
      </c>
      <c r="Y47" s="1">
        <v>1413.6598081340405</v>
      </c>
      <c r="Z47" s="5">
        <v>506.35812635761351</v>
      </c>
      <c r="AA47" s="1">
        <f>Y47-Z47</f>
        <v>907.30168177642702</v>
      </c>
      <c r="AB47" s="1">
        <v>1475.4936578496793</v>
      </c>
      <c r="AC47" s="5">
        <v>528.6802857299524</v>
      </c>
      <c r="AD47" s="1">
        <f>AB47-AC47</f>
        <v>946.81337211972686</v>
      </c>
    </row>
    <row r="48" spans="2:30" ht="17.25" hidden="1">
      <c r="B48" s="174" t="s">
        <v>29</v>
      </c>
      <c r="C48" s="175"/>
      <c r="D48" s="8">
        <v>1229.8640586922161</v>
      </c>
      <c r="E48" s="9">
        <v>579.16898860174899</v>
      </c>
      <c r="F48" s="8">
        <f>D48-E48</f>
        <v>650.69507009046708</v>
      </c>
      <c r="G48" s="8">
        <v>1274.8982414448103</v>
      </c>
      <c r="H48" s="9">
        <v>731.86071529852995</v>
      </c>
      <c r="I48" s="8">
        <f>G48-H48</f>
        <v>543.03752614628036</v>
      </c>
      <c r="J48" s="8">
        <v>1286.4269073010987</v>
      </c>
      <c r="K48" s="9">
        <v>699.34554070367312</v>
      </c>
      <c r="L48" s="8">
        <f>J48-K48</f>
        <v>587.08136659742559</v>
      </c>
      <c r="M48" s="8">
        <v>1282.1130299715815</v>
      </c>
      <c r="N48" s="8">
        <v>550.3778948665389</v>
      </c>
      <c r="O48" s="8">
        <f>M48-N48</f>
        <v>731.73513510504256</v>
      </c>
      <c r="P48" s="8">
        <v>1256.2124698207842</v>
      </c>
      <c r="Q48" s="9">
        <v>516</v>
      </c>
      <c r="R48" s="8">
        <f>P48-Q48</f>
        <v>740.21246982078424</v>
      </c>
      <c r="S48" s="8">
        <v>1258.0132173927475</v>
      </c>
      <c r="T48" s="8">
        <v>501.96282857071958</v>
      </c>
      <c r="U48" s="8">
        <f>S48-T48</f>
        <v>756.05038882202791</v>
      </c>
      <c r="V48" s="8">
        <v>1270.5888928815566</v>
      </c>
      <c r="W48" s="8">
        <v>506.97170878601361</v>
      </c>
      <c r="X48" s="8">
        <f>V48-W48</f>
        <v>763.61718409554305</v>
      </c>
      <c r="Y48" s="8">
        <v>1413.6598081340405</v>
      </c>
      <c r="Z48" s="8">
        <v>506.35812635761351</v>
      </c>
      <c r="AA48" s="8">
        <f>Y48-Z48</f>
        <v>907.30168177642702</v>
      </c>
      <c r="AB48" s="8">
        <v>1475.4936578496793</v>
      </c>
      <c r="AC48" s="8">
        <v>528.6802857299524</v>
      </c>
      <c r="AD48" s="8">
        <f>AB48-AC48</f>
        <v>946.81337211972686</v>
      </c>
    </row>
    <row r="49" hidden="1"/>
    <row r="50" hidden="1"/>
    <row r="51" hidden="1"/>
    <row r="53" s="38" customFormat="1"/>
    <row r="54" s="38" customFormat="1"/>
  </sheetData>
  <mergeCells count="11">
    <mergeCell ref="S45:U45"/>
    <mergeCell ref="V45:X45"/>
    <mergeCell ref="Y45:AA45"/>
    <mergeCell ref="B48:C48"/>
    <mergeCell ref="AB45:AD45"/>
    <mergeCell ref="B45:C46"/>
    <mergeCell ref="D45:F45"/>
    <mergeCell ref="G45:I45"/>
    <mergeCell ref="J45:L45"/>
    <mergeCell ref="M45:O45"/>
    <mergeCell ref="P45:R45"/>
  </mergeCells>
  <phoneticPr fontId="3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P57"/>
  <sheetViews>
    <sheetView showGridLines="0" topLeftCell="A22" zoomScale="85" zoomScaleNormal="85" workbookViewId="0">
      <selection activeCell="F26" sqref="F26"/>
    </sheetView>
  </sheetViews>
  <sheetFormatPr defaultRowHeight="16.5"/>
  <cols>
    <col min="2" max="3" width="9.125" customWidth="1"/>
    <col min="4" max="24" width="15.625" customWidth="1"/>
  </cols>
  <sheetData>
    <row r="2" spans="2:2" ht="41.25">
      <c r="B2" s="29" t="s">
        <v>104</v>
      </c>
    </row>
    <row r="5" spans="2:2" ht="20.100000000000001" customHeight="1"/>
    <row r="6" spans="2:2" ht="20.100000000000001" customHeight="1"/>
    <row r="7" spans="2:2" ht="20.100000000000001" customHeight="1"/>
    <row r="8" spans="2:2" ht="20.100000000000001" customHeight="1"/>
    <row r="9" spans="2:2" ht="20.100000000000001" customHeight="1"/>
    <row r="10" spans="2:2" ht="23.25" customHeight="1"/>
    <row r="11" spans="2:2" ht="23.25" customHeight="1"/>
    <row r="12" spans="2:2" ht="23.25" customHeight="1"/>
    <row r="13" spans="2:2" ht="23.25" customHeight="1"/>
    <row r="14" spans="2:2" ht="23.25" customHeight="1"/>
    <row r="17" spans="39:42">
      <c r="AM17" t="s">
        <v>33</v>
      </c>
      <c r="AN17" t="s">
        <v>33</v>
      </c>
      <c r="AO17" t="s">
        <v>34</v>
      </c>
      <c r="AP17" t="s">
        <v>11</v>
      </c>
    </row>
    <row r="43" spans="2:14" s="39" customFormat="1"/>
    <row r="44" spans="2:14" s="39" customFormat="1"/>
    <row r="45" spans="2:14" s="39" customFormat="1"/>
    <row r="46" spans="2:14" s="39" customFormat="1">
      <c r="B46" s="39" t="s">
        <v>36</v>
      </c>
      <c r="C46" s="39">
        <v>432</v>
      </c>
      <c r="D46" s="39">
        <v>471</v>
      </c>
      <c r="E46" s="39">
        <v>512</v>
      </c>
      <c r="F46" s="39">
        <v>517</v>
      </c>
      <c r="G46" s="39">
        <v>485</v>
      </c>
      <c r="H46" s="39">
        <v>538</v>
      </c>
      <c r="I46" s="39">
        <v>535</v>
      </c>
      <c r="J46" s="39">
        <v>537</v>
      </c>
      <c r="K46" s="39">
        <v>531</v>
      </c>
      <c r="L46" s="39">
        <v>519</v>
      </c>
      <c r="M46" s="39">
        <v>484</v>
      </c>
      <c r="N46" s="39">
        <v>522</v>
      </c>
    </row>
    <row r="47" spans="2:14" s="40" customFormat="1"/>
    <row r="48" spans="2:14" s="40" customFormat="1"/>
    <row r="49" spans="2:30" s="38" customFormat="1"/>
    <row r="50" spans="2:30" s="38" customFormat="1" hidden="1">
      <c r="B50" s="171" t="s">
        <v>12</v>
      </c>
      <c r="C50" s="171"/>
      <c r="D50" s="172" t="s">
        <v>27</v>
      </c>
      <c r="E50" s="173"/>
      <c r="F50" s="176"/>
      <c r="G50" s="172" t="s">
        <v>38</v>
      </c>
      <c r="H50" s="173"/>
      <c r="I50" s="176"/>
      <c r="J50" s="172" t="s">
        <v>39</v>
      </c>
      <c r="K50" s="173"/>
      <c r="L50" s="176"/>
      <c r="M50" s="172" t="s">
        <v>49</v>
      </c>
      <c r="N50" s="173"/>
      <c r="O50" s="173"/>
      <c r="P50" s="172" t="s">
        <v>41</v>
      </c>
      <c r="Q50" s="173"/>
      <c r="R50" s="173"/>
      <c r="S50" s="171" t="s">
        <v>14</v>
      </c>
      <c r="T50" s="171"/>
      <c r="U50" s="171"/>
      <c r="V50" s="172" t="s">
        <v>15</v>
      </c>
      <c r="W50" s="173"/>
      <c r="X50" s="173"/>
      <c r="Y50" s="171" t="s">
        <v>37</v>
      </c>
      <c r="Z50" s="171"/>
      <c r="AA50" s="171"/>
      <c r="AB50" s="171" t="s">
        <v>2</v>
      </c>
      <c r="AC50" s="171"/>
      <c r="AD50" s="171"/>
    </row>
    <row r="51" spans="2:30" s="38" customFormat="1" ht="27" hidden="1">
      <c r="B51" s="171"/>
      <c r="C51" s="171"/>
      <c r="D51" s="3" t="s">
        <v>17</v>
      </c>
      <c r="E51" s="3" t="s">
        <v>20</v>
      </c>
      <c r="F51" s="3" t="s">
        <v>18</v>
      </c>
      <c r="G51" s="3" t="s">
        <v>17</v>
      </c>
      <c r="H51" s="3" t="s">
        <v>20</v>
      </c>
      <c r="I51" s="3" t="s">
        <v>18</v>
      </c>
      <c r="J51" s="3" t="s">
        <v>50</v>
      </c>
      <c r="K51" s="3" t="s">
        <v>51</v>
      </c>
      <c r="L51" s="3" t="s">
        <v>18</v>
      </c>
      <c r="M51" s="3" t="s">
        <v>52</v>
      </c>
      <c r="N51" s="3" t="s">
        <v>20</v>
      </c>
      <c r="O51" s="3" t="s">
        <v>53</v>
      </c>
      <c r="P51" s="3" t="s">
        <v>19</v>
      </c>
      <c r="Q51" s="3" t="s">
        <v>20</v>
      </c>
      <c r="R51" s="3" t="s">
        <v>18</v>
      </c>
      <c r="S51" s="3" t="s">
        <v>19</v>
      </c>
      <c r="T51" s="3" t="s">
        <v>20</v>
      </c>
      <c r="U51" s="3" t="s">
        <v>18</v>
      </c>
      <c r="V51" s="3" t="s">
        <v>19</v>
      </c>
      <c r="W51" s="3" t="s">
        <v>20</v>
      </c>
      <c r="X51" s="3" t="s">
        <v>18</v>
      </c>
      <c r="Y51" s="3" t="s">
        <v>52</v>
      </c>
      <c r="Z51" s="3" t="s">
        <v>51</v>
      </c>
      <c r="AA51" s="3" t="s">
        <v>18</v>
      </c>
      <c r="AB51" s="3" t="s">
        <v>52</v>
      </c>
      <c r="AC51" s="3" t="s">
        <v>20</v>
      </c>
      <c r="AD51" s="3" t="s">
        <v>53</v>
      </c>
    </row>
    <row r="52" spans="2:30" s="38" customFormat="1" ht="17.25" hidden="1">
      <c r="B52" s="177" t="s">
        <v>22</v>
      </c>
      <c r="C52" s="4" t="s">
        <v>21</v>
      </c>
      <c r="D52" s="5">
        <v>699.15087878637883</v>
      </c>
      <c r="E52" s="1">
        <v>266.33541252794942</v>
      </c>
      <c r="F52" s="6">
        <f>D52-E52</f>
        <v>432.81546625842941</v>
      </c>
      <c r="G52" s="5">
        <v>690.58674757202687</v>
      </c>
      <c r="H52" s="1">
        <v>228.85147461282384</v>
      </c>
      <c r="I52" s="6">
        <f>G52-H52</f>
        <v>461.73527295920303</v>
      </c>
      <c r="J52" s="5">
        <v>699.33826296071175</v>
      </c>
      <c r="K52" s="1">
        <v>196.08062014453617</v>
      </c>
      <c r="L52" s="6">
        <f>J52-K52</f>
        <v>503.25764281617558</v>
      </c>
      <c r="M52" s="1">
        <v>680.01088208423357</v>
      </c>
      <c r="N52" s="5">
        <v>176.42723377377234</v>
      </c>
      <c r="O52" s="6">
        <f>M52-N52</f>
        <v>503.58364831046123</v>
      </c>
      <c r="P52" s="5">
        <v>668.0668206136354</v>
      </c>
      <c r="Q52" s="1">
        <v>178.33163465397931</v>
      </c>
      <c r="R52" s="6">
        <f>P52-Q52</f>
        <v>489.73518595965606</v>
      </c>
      <c r="S52" s="1">
        <v>697.24575580298301</v>
      </c>
      <c r="T52" s="5">
        <v>181.74592126783608</v>
      </c>
      <c r="U52" s="6">
        <f>S52-T52</f>
        <v>515.49983453514687</v>
      </c>
      <c r="V52" s="1">
        <v>699.50786625568878</v>
      </c>
      <c r="W52" s="5">
        <v>179.10294754537233</v>
      </c>
      <c r="X52" s="6">
        <f>V52-W52</f>
        <v>520.40491871031645</v>
      </c>
      <c r="Y52" s="1">
        <v>696.47855735750761</v>
      </c>
      <c r="Z52" s="5">
        <v>179.33303025469721</v>
      </c>
      <c r="AA52" s="6">
        <f>Y52-Z52</f>
        <v>517.14552710281043</v>
      </c>
      <c r="AB52" s="1">
        <v>693.39085279590438</v>
      </c>
      <c r="AC52" s="5">
        <v>190.48183320422913</v>
      </c>
      <c r="AD52" s="6">
        <f>AB52-AC52</f>
        <v>502.90901959167525</v>
      </c>
    </row>
    <row r="53" spans="2:30" s="38" customFormat="1" ht="17.25" hidden="1">
      <c r="B53" s="178"/>
      <c r="C53" s="4" t="s">
        <v>24</v>
      </c>
      <c r="D53" s="5">
        <v>889.32319947980056</v>
      </c>
      <c r="E53" s="1">
        <v>293.46240157127198</v>
      </c>
      <c r="F53" s="6">
        <f>D53-E53</f>
        <v>595.86079790852864</v>
      </c>
      <c r="G53" s="5">
        <v>892.63559721762806</v>
      </c>
      <c r="H53" s="1">
        <v>273.63218653100591</v>
      </c>
      <c r="I53" s="6">
        <f>G53-H53</f>
        <v>619.00341068662215</v>
      </c>
      <c r="J53" s="5">
        <v>879.96982917374442</v>
      </c>
      <c r="K53" s="1">
        <v>239.93231904853934</v>
      </c>
      <c r="L53" s="6">
        <f>J53-K53</f>
        <v>640.03751012520502</v>
      </c>
      <c r="M53" s="1">
        <v>859.01188863553318</v>
      </c>
      <c r="N53" s="5">
        <v>209.80896531173951</v>
      </c>
      <c r="O53" s="6">
        <f>M53-N53</f>
        <v>649.2029233237937</v>
      </c>
      <c r="P53" s="5">
        <v>856.15347059436669</v>
      </c>
      <c r="Q53" s="1">
        <v>225.17243165010726</v>
      </c>
      <c r="R53" s="6">
        <f>P53-Q53</f>
        <v>630.98103894425947</v>
      </c>
      <c r="S53" s="1">
        <v>878.13918891533785</v>
      </c>
      <c r="T53" s="5">
        <v>211.09995421034048</v>
      </c>
      <c r="U53" s="6">
        <f>S53-T53</f>
        <v>667.0392347049974</v>
      </c>
      <c r="V53" s="1">
        <v>884.87778114690036</v>
      </c>
      <c r="W53" s="5">
        <v>209.59477926451365</v>
      </c>
      <c r="X53" s="6">
        <f>V53-W53</f>
        <v>675.28300188238677</v>
      </c>
      <c r="Y53" s="1">
        <v>866.57008029156191</v>
      </c>
      <c r="Z53" s="5">
        <v>213.82244957803201</v>
      </c>
      <c r="AA53" s="6">
        <f>Y53-Z53</f>
        <v>652.74763071352993</v>
      </c>
      <c r="AB53" s="1">
        <v>870.458541259752</v>
      </c>
      <c r="AC53" s="5">
        <v>228.33872329757787</v>
      </c>
      <c r="AD53" s="6">
        <f>AB53-AC53</f>
        <v>642.11981796217412</v>
      </c>
    </row>
    <row r="54" spans="2:30" s="38" customFormat="1" ht="17.25" hidden="1">
      <c r="B54" s="179"/>
      <c r="C54" s="7"/>
      <c r="D54" s="8">
        <v>731.98268457144502</v>
      </c>
      <c r="E54" s="8">
        <v>271.01868101074712</v>
      </c>
      <c r="F54" s="9">
        <f>D54-E54</f>
        <v>460.9640035606979</v>
      </c>
      <c r="G54" s="8">
        <v>721.8212294922007</v>
      </c>
      <c r="H54" s="8">
        <v>235.774069516157</v>
      </c>
      <c r="I54" s="9">
        <f>G54-H54</f>
        <v>486.0471599760437</v>
      </c>
      <c r="J54" s="8">
        <v>726.22920248993523</v>
      </c>
      <c r="K54" s="8">
        <v>202.60889982567741</v>
      </c>
      <c r="L54" s="9">
        <f>J54-K54</f>
        <v>523.62030266425779</v>
      </c>
      <c r="M54" s="8">
        <v>708.14137734944086</v>
      </c>
      <c r="N54" s="8">
        <v>181.67326372111839</v>
      </c>
      <c r="O54" s="9">
        <f>M54-N54</f>
        <v>526.4681136283225</v>
      </c>
      <c r="P54" s="8">
        <v>693.58057785461244</v>
      </c>
      <c r="Q54" s="8">
        <v>184.68553974854888</v>
      </c>
      <c r="R54" s="9">
        <f>P54-Q54</f>
        <v>508.89503810606357</v>
      </c>
      <c r="S54" s="8">
        <v>718.21325659839351</v>
      </c>
      <c r="T54" s="8">
        <v>185.14837042522581</v>
      </c>
      <c r="U54" s="9">
        <f>S54-T54</f>
        <v>533.06488617316768</v>
      </c>
      <c r="V54" s="8">
        <v>729.4683964034856</v>
      </c>
      <c r="W54" s="8">
        <v>184.03120920001575</v>
      </c>
      <c r="X54" s="9">
        <f>V54-W54</f>
        <v>545.43718720346988</v>
      </c>
      <c r="Y54" s="8">
        <v>719.64854812578369</v>
      </c>
      <c r="Z54" s="8">
        <v>184.03120399986787</v>
      </c>
      <c r="AA54" s="9">
        <f>Y54-Z54</f>
        <v>535.61734412591579</v>
      </c>
      <c r="AB54" s="8">
        <v>725.93623481298107</v>
      </c>
      <c r="AC54" s="8">
        <v>197.44000248262961</v>
      </c>
      <c r="AD54" s="9">
        <f>AB54-AC54</f>
        <v>528.4962323303514</v>
      </c>
    </row>
    <row r="55" spans="2:30" s="38" customFormat="1" ht="17.25" hidden="1">
      <c r="B55" s="13" t="s">
        <v>26</v>
      </c>
      <c r="C55" s="10" t="s">
        <v>54</v>
      </c>
      <c r="D55" s="5">
        <v>666.18678733157253</v>
      </c>
      <c r="E55" s="1">
        <v>251.83697650962785</v>
      </c>
      <c r="F55" s="6">
        <f>D55-E55</f>
        <v>414.34981082194469</v>
      </c>
      <c r="G55" s="5">
        <v>683.94432513104675</v>
      </c>
      <c r="H55" s="1">
        <v>222.74764631777686</v>
      </c>
      <c r="I55" s="6">
        <f>G55-H55</f>
        <v>461.1966788132699</v>
      </c>
      <c r="J55" s="5">
        <v>690.66486133858643</v>
      </c>
      <c r="K55" s="1">
        <v>185.24055507215874</v>
      </c>
      <c r="L55" s="6">
        <f>J55-K55</f>
        <v>505.42430626642772</v>
      </c>
      <c r="M55" s="1">
        <v>671.9205694292358</v>
      </c>
      <c r="N55" s="5">
        <v>160.38328496107638</v>
      </c>
      <c r="O55" s="6">
        <f>M55-N55</f>
        <v>511.53728446815944</v>
      </c>
      <c r="P55" s="5">
        <v>659.10279203452501</v>
      </c>
      <c r="Q55" s="1">
        <v>189.95823922738714</v>
      </c>
      <c r="R55" s="6">
        <f>P55-Q55</f>
        <v>469.14455280713787</v>
      </c>
      <c r="S55" s="1">
        <v>706.912768464588</v>
      </c>
      <c r="T55" s="5">
        <v>166.23179676920196</v>
      </c>
      <c r="U55" s="6">
        <f>S55-T55</f>
        <v>540.68097169538601</v>
      </c>
      <c r="V55" s="1">
        <v>694.53845104204652</v>
      </c>
      <c r="W55" s="5">
        <v>163.7451634896303</v>
      </c>
      <c r="X55" s="6">
        <f>V55-W55</f>
        <v>530.79328755241625</v>
      </c>
      <c r="Y55" s="1">
        <v>700.77304915130458</v>
      </c>
      <c r="Z55" s="5">
        <v>163.75610039104862</v>
      </c>
      <c r="AA55" s="6">
        <f>Y55-Z55</f>
        <v>537.0169487602559</v>
      </c>
      <c r="AB55" s="1">
        <v>710.15169324484236</v>
      </c>
      <c r="AC55" s="5">
        <v>177.56144611151058</v>
      </c>
      <c r="AD55" s="6">
        <f>AB55-AC55</f>
        <v>532.59024713333179</v>
      </c>
    </row>
    <row r="56" spans="2:30" s="38" customFormat="1" ht="17.25" hidden="1">
      <c r="B56" s="174" t="s">
        <v>55</v>
      </c>
      <c r="C56" s="175"/>
      <c r="D56" s="8">
        <v>690.63875702266535</v>
      </c>
      <c r="E56" s="8">
        <v>258.96554343797175</v>
      </c>
      <c r="F56" s="9">
        <f>D56-E56</f>
        <v>431.6732135846936</v>
      </c>
      <c r="G56" s="8">
        <v>699.13098377693495</v>
      </c>
      <c r="H56" s="8">
        <v>227.97056106826443</v>
      </c>
      <c r="I56" s="9">
        <f>G56-H56</f>
        <v>471.16042270867052</v>
      </c>
      <c r="J56" s="8">
        <v>704.34417448098213</v>
      </c>
      <c r="K56" s="8">
        <v>191.92103948314173</v>
      </c>
      <c r="L56" s="9">
        <f>J56-K56</f>
        <v>512.42313499784041</v>
      </c>
      <c r="M56" s="8">
        <v>685.08049195173646</v>
      </c>
      <c r="N56" s="8">
        <v>168.11846501573075</v>
      </c>
      <c r="O56" s="9">
        <f>M56-N56</f>
        <v>516.96202693600571</v>
      </c>
      <c r="P56" s="8">
        <v>672.71302713568946</v>
      </c>
      <c r="Q56" s="8">
        <v>187.87682135736361</v>
      </c>
      <c r="R56" s="9">
        <f>P56-Q56</f>
        <v>484.83620577832585</v>
      </c>
      <c r="S56" s="8">
        <v>710.87479445034251</v>
      </c>
      <c r="T56" s="8">
        <v>172.86407278234185</v>
      </c>
      <c r="U56" s="9">
        <f>S56-T56</f>
        <v>538.01072166800066</v>
      </c>
      <c r="V56" s="8">
        <v>705.3690973355682</v>
      </c>
      <c r="W56" s="8">
        <v>170.0352101390003</v>
      </c>
      <c r="X56" s="9">
        <f>V56-W56</f>
        <v>535.33388719656796</v>
      </c>
      <c r="Y56" s="8">
        <v>706.6346388934453</v>
      </c>
      <c r="Z56" s="8">
        <v>170.05232278469143</v>
      </c>
      <c r="AA56" s="9">
        <f>Y56-Z56</f>
        <v>536.58231610875384</v>
      </c>
      <c r="AB56" s="8">
        <v>715.37616976984032</v>
      </c>
      <c r="AC56" s="8">
        <v>184.14098791596729</v>
      </c>
      <c r="AD56" s="9">
        <f>AB56-AC56</f>
        <v>531.23518185387297</v>
      </c>
    </row>
    <row r="57" spans="2:30" s="38" customFormat="1"/>
  </sheetData>
  <mergeCells count="12">
    <mergeCell ref="B56:C56"/>
    <mergeCell ref="B50:C51"/>
    <mergeCell ref="D50:F50"/>
    <mergeCell ref="AB50:AD50"/>
    <mergeCell ref="B52:B54"/>
    <mergeCell ref="M50:O50"/>
    <mergeCell ref="P50:R50"/>
    <mergeCell ref="G50:I50"/>
    <mergeCell ref="J50:L50"/>
    <mergeCell ref="S50:U50"/>
    <mergeCell ref="V50:X50"/>
    <mergeCell ref="Y50:AA50"/>
  </mergeCells>
  <phoneticPr fontId="3" type="noConversion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237"/>
  <sheetViews>
    <sheetView showGridLines="0" zoomScale="70" zoomScaleNormal="70" workbookViewId="0">
      <selection activeCell="A4" sqref="A4:P48"/>
    </sheetView>
  </sheetViews>
  <sheetFormatPr defaultColWidth="9" defaultRowHeight="16.5"/>
  <cols>
    <col min="1" max="1" width="9" customWidth="1"/>
    <col min="2" max="3" width="9.125" customWidth="1"/>
    <col min="4" max="22" width="15.625" customWidth="1"/>
    <col min="24" max="24" width="9.5" style="2" bestFit="1" customWidth="1"/>
    <col min="25" max="25" width="8.75" style="2" customWidth="1"/>
    <col min="26" max="34" width="9.125" customWidth="1"/>
    <col min="35" max="44" width="6.125" customWidth="1"/>
  </cols>
  <sheetData>
    <row r="1" spans="2:25">
      <c r="X1"/>
      <c r="Y1"/>
    </row>
    <row r="2" spans="2:25" ht="41.25">
      <c r="B2" s="29" t="s">
        <v>104</v>
      </c>
      <c r="X2"/>
      <c r="Y2"/>
    </row>
    <row r="3" spans="2:25" ht="16.5" customHeight="1">
      <c r="K3" s="30" t="s">
        <v>103</v>
      </c>
      <c r="X3"/>
      <c r="Y3"/>
    </row>
    <row r="4" spans="2:25" ht="20.25">
      <c r="B4" s="12" t="s">
        <v>88</v>
      </c>
      <c r="D4" s="2"/>
      <c r="E4" s="2"/>
      <c r="X4"/>
      <c r="Y4"/>
    </row>
    <row r="5" spans="2:25" ht="20.25">
      <c r="B5" s="12" t="s">
        <v>129</v>
      </c>
      <c r="C5" s="2"/>
      <c r="X5"/>
      <c r="Y5"/>
    </row>
    <row r="6" spans="2:25">
      <c r="B6" s="2"/>
      <c r="C6" s="2"/>
      <c r="X6"/>
      <c r="Y6"/>
    </row>
    <row r="7" spans="2:25" ht="17.25">
      <c r="B7" s="135" t="s">
        <v>68</v>
      </c>
      <c r="C7" s="135"/>
      <c r="D7" s="189" t="s">
        <v>65</v>
      </c>
      <c r="E7" s="189"/>
      <c r="F7" s="189"/>
      <c r="G7" s="189"/>
      <c r="H7" s="189"/>
      <c r="I7" s="136" t="s">
        <v>35</v>
      </c>
      <c r="J7" s="136"/>
      <c r="K7" s="136"/>
      <c r="L7" s="136"/>
      <c r="M7" s="136"/>
      <c r="N7" s="136"/>
      <c r="O7" s="136"/>
      <c r="X7"/>
      <c r="Y7"/>
    </row>
    <row r="8" spans="2:25">
      <c r="B8" s="135"/>
      <c r="C8" s="135"/>
      <c r="D8" s="136" t="s">
        <v>31</v>
      </c>
      <c r="E8" s="136" t="s">
        <v>61</v>
      </c>
      <c r="F8" s="136" t="s">
        <v>66</v>
      </c>
      <c r="G8" s="135" t="s">
        <v>69</v>
      </c>
      <c r="H8" s="143" t="s">
        <v>70</v>
      </c>
      <c r="I8" s="137" t="s">
        <v>67</v>
      </c>
      <c r="J8" s="137" t="s">
        <v>63</v>
      </c>
      <c r="K8" s="137" t="s">
        <v>58</v>
      </c>
      <c r="L8" s="137" t="s">
        <v>87</v>
      </c>
      <c r="M8" s="137" t="s">
        <v>89</v>
      </c>
      <c r="N8" s="137" t="s">
        <v>127</v>
      </c>
      <c r="O8" s="137" t="s">
        <v>128</v>
      </c>
      <c r="X8"/>
      <c r="Y8"/>
    </row>
    <row r="9" spans="2:25">
      <c r="B9" s="135"/>
      <c r="C9" s="135"/>
      <c r="D9" s="136"/>
      <c r="E9" s="136"/>
      <c r="F9" s="136"/>
      <c r="G9" s="136"/>
      <c r="H9" s="144"/>
      <c r="I9" s="138"/>
      <c r="J9" s="138"/>
      <c r="K9" s="138"/>
      <c r="L9" s="138"/>
      <c r="M9" s="138"/>
      <c r="N9" s="138"/>
      <c r="O9" s="138"/>
      <c r="X9"/>
      <c r="Y9"/>
    </row>
    <row r="10" spans="2:25" ht="23.25" customHeight="1">
      <c r="B10" s="162" t="s">
        <v>71</v>
      </c>
      <c r="C10" s="4" t="s">
        <v>21</v>
      </c>
      <c r="D10" s="17">
        <v>319.1421480007989</v>
      </c>
      <c r="E10" s="17">
        <v>402.27241951922878</v>
      </c>
      <c r="F10" s="17">
        <v>422.98539768069617</v>
      </c>
      <c r="G10" s="17">
        <v>455.21799101491166</v>
      </c>
      <c r="H10" s="17">
        <v>429.7102165750216</v>
      </c>
      <c r="I10" s="17">
        <v>376.46138051784897</v>
      </c>
      <c r="J10" s="17">
        <v>395.52690525905331</v>
      </c>
      <c r="K10" s="17">
        <v>418.91355879328381</v>
      </c>
      <c r="L10" s="17">
        <v>414.74124883676859</v>
      </c>
      <c r="M10" s="17">
        <v>423.20909405668908</v>
      </c>
      <c r="N10" s="17">
        <v>417</v>
      </c>
      <c r="O10" s="17">
        <v>438.80206122828224</v>
      </c>
      <c r="X10"/>
      <c r="Y10"/>
    </row>
    <row r="11" spans="2:25" ht="23.25" customHeight="1">
      <c r="B11" s="163"/>
      <c r="C11" s="4" t="s">
        <v>24</v>
      </c>
      <c r="D11" s="17">
        <v>423.23089782764271</v>
      </c>
      <c r="E11" s="17">
        <v>497.14158184691843</v>
      </c>
      <c r="F11" s="17">
        <v>495.58203408195305</v>
      </c>
      <c r="G11" s="17">
        <v>536.62376220084548</v>
      </c>
      <c r="H11" s="17">
        <v>475.24375241378038</v>
      </c>
      <c r="I11" s="17">
        <v>465.61281670287445</v>
      </c>
      <c r="J11" s="17">
        <v>467.79514666387593</v>
      </c>
      <c r="K11" s="17">
        <v>520.59697906517795</v>
      </c>
      <c r="L11" s="17">
        <v>540.81814255946347</v>
      </c>
      <c r="M11" s="17">
        <v>558.97770338565738</v>
      </c>
      <c r="N11" s="17">
        <v>557</v>
      </c>
      <c r="O11" s="17">
        <v>553.46898129117255</v>
      </c>
      <c r="X11"/>
      <c r="Y11"/>
    </row>
    <row r="12" spans="2:25" ht="23.25" customHeight="1">
      <c r="B12" s="164"/>
      <c r="C12" s="11"/>
      <c r="D12" s="18">
        <v>331.208055073948</v>
      </c>
      <c r="E12" s="18">
        <v>412.34646367123145</v>
      </c>
      <c r="F12" s="18">
        <v>430.04924270875006</v>
      </c>
      <c r="G12" s="18">
        <v>463.37999828693194</v>
      </c>
      <c r="H12" s="18">
        <v>434.12317458627035</v>
      </c>
      <c r="I12" s="18">
        <v>384.01631907943738</v>
      </c>
      <c r="J12" s="18">
        <v>410.45716273399751</v>
      </c>
      <c r="K12" s="18">
        <v>435.2542107006974</v>
      </c>
      <c r="L12" s="18">
        <v>433.09586615585738</v>
      </c>
      <c r="M12" s="18">
        <v>444.35528658279611</v>
      </c>
      <c r="N12" s="18">
        <v>433</v>
      </c>
      <c r="O12" s="18">
        <v>451.14949549291521</v>
      </c>
      <c r="X12"/>
      <c r="Y12"/>
    </row>
    <row r="13" spans="2:25" ht="23.25" customHeight="1">
      <c r="B13" s="14" t="s">
        <v>26</v>
      </c>
      <c r="C13" s="10" t="s">
        <v>59</v>
      </c>
      <c r="D13" s="17">
        <v>387.8530366046931</v>
      </c>
      <c r="E13" s="17">
        <v>442.78334643907425</v>
      </c>
      <c r="F13" s="17">
        <v>446.14430694074213</v>
      </c>
      <c r="G13" s="17">
        <v>482.00325250624394</v>
      </c>
      <c r="H13" s="17">
        <v>450.65088540776094</v>
      </c>
      <c r="I13" s="17">
        <v>371.93020055516831</v>
      </c>
      <c r="J13" s="17">
        <v>439.61843783836855</v>
      </c>
      <c r="K13" s="17">
        <v>453.55988900320517</v>
      </c>
      <c r="L13" s="17">
        <v>463.90795691110083</v>
      </c>
      <c r="M13" s="17">
        <v>466.2116542421</v>
      </c>
      <c r="N13" s="17">
        <v>453</v>
      </c>
      <c r="O13" s="17">
        <v>497.0711093374245</v>
      </c>
      <c r="X13"/>
      <c r="Y13"/>
    </row>
    <row r="14" spans="2:25" ht="23.25" customHeight="1">
      <c r="B14" s="159" t="s">
        <v>72</v>
      </c>
      <c r="C14" s="161"/>
      <c r="D14" s="18">
        <v>338.05818940734605</v>
      </c>
      <c r="E14" s="18">
        <v>414.9123912379485</v>
      </c>
      <c r="F14" s="18">
        <v>431.39468930214957</v>
      </c>
      <c r="G14" s="18">
        <v>464.87699853063748</v>
      </c>
      <c r="H14" s="18">
        <v>436.11186332632656</v>
      </c>
      <c r="I14" s="18">
        <v>382.25498585730605</v>
      </c>
      <c r="J14" s="18">
        <v>413.9036560458004</v>
      </c>
      <c r="K14" s="18">
        <v>437.05471751018194</v>
      </c>
      <c r="L14" s="18">
        <v>438.5326604761683</v>
      </c>
      <c r="M14" s="18">
        <v>446.08091535381442</v>
      </c>
      <c r="N14" s="18">
        <v>434</v>
      </c>
      <c r="O14" s="18">
        <v>456.67187242414161</v>
      </c>
      <c r="X14"/>
      <c r="Y14"/>
    </row>
    <row r="15" spans="2:25">
      <c r="B15" s="2"/>
      <c r="C15" s="2"/>
      <c r="X15"/>
      <c r="Y15"/>
    </row>
    <row r="16" spans="2:25">
      <c r="X16"/>
      <c r="Y16"/>
    </row>
    <row r="17" spans="2:25">
      <c r="X17"/>
      <c r="Y17"/>
    </row>
    <row r="18" spans="2:25">
      <c r="X18"/>
      <c r="Y18"/>
    </row>
    <row r="19" spans="2:25">
      <c r="X19"/>
      <c r="Y19"/>
    </row>
    <row r="20" spans="2:25">
      <c r="B20" s="2"/>
      <c r="C20" s="2"/>
      <c r="X20"/>
      <c r="Y20"/>
    </row>
    <row r="21" spans="2:25">
      <c r="B21" s="2"/>
      <c r="C21" s="2"/>
      <c r="X21"/>
      <c r="Y21"/>
    </row>
    <row r="22" spans="2:25">
      <c r="B22" s="2"/>
      <c r="C22" s="2"/>
      <c r="X22"/>
      <c r="Y22"/>
    </row>
    <row r="23" spans="2:25">
      <c r="B23" s="2"/>
      <c r="C23" s="2"/>
      <c r="X23"/>
      <c r="Y23"/>
    </row>
    <row r="24" spans="2:25">
      <c r="B24" s="2"/>
      <c r="C24" s="2"/>
      <c r="X24"/>
      <c r="Y24"/>
    </row>
    <row r="25" spans="2:25">
      <c r="B25" s="2"/>
      <c r="C25" s="2"/>
      <c r="X25"/>
      <c r="Y25"/>
    </row>
    <row r="26" spans="2:25">
      <c r="B26" s="2"/>
      <c r="C26" s="2"/>
      <c r="X26"/>
      <c r="Y26"/>
    </row>
    <row r="27" spans="2:25">
      <c r="B27" s="2"/>
      <c r="C27" s="2"/>
      <c r="X27"/>
      <c r="Y27"/>
    </row>
    <row r="28" spans="2:25">
      <c r="B28" s="2"/>
      <c r="C28" s="2"/>
      <c r="X28"/>
      <c r="Y28"/>
    </row>
    <row r="29" spans="2:25">
      <c r="B29" s="2"/>
      <c r="C29" s="2"/>
      <c r="X29"/>
      <c r="Y29"/>
    </row>
    <row r="30" spans="2:25">
      <c r="B30" s="2"/>
      <c r="C30" s="2"/>
      <c r="X30"/>
      <c r="Y30"/>
    </row>
    <row r="31" spans="2:25">
      <c r="B31" s="2"/>
      <c r="C31" s="2"/>
      <c r="X31"/>
      <c r="Y31"/>
    </row>
    <row r="32" spans="2:25">
      <c r="B32" s="2"/>
      <c r="C32" s="2"/>
      <c r="X32"/>
      <c r="Y32"/>
    </row>
    <row r="33" spans="2:25">
      <c r="B33" s="2"/>
      <c r="C33" s="2"/>
      <c r="X33"/>
      <c r="Y33"/>
    </row>
    <row r="34" spans="2:25">
      <c r="B34" s="2"/>
      <c r="C34" s="2"/>
      <c r="X34"/>
      <c r="Y34"/>
    </row>
    <row r="35" spans="2:25">
      <c r="B35" s="2"/>
      <c r="C35" s="2"/>
      <c r="X35"/>
      <c r="Y35"/>
    </row>
    <row r="36" spans="2:25">
      <c r="B36" s="2"/>
      <c r="C36" s="2"/>
      <c r="X36"/>
      <c r="Y36"/>
    </row>
    <row r="37" spans="2:25">
      <c r="B37" s="2"/>
      <c r="C37" s="2"/>
      <c r="X37"/>
      <c r="Y37"/>
    </row>
    <row r="38" spans="2:25" s="42" customFormat="1">
      <c r="B38" s="41"/>
      <c r="C38" s="41"/>
    </row>
    <row r="39" spans="2:25" s="42" customFormat="1">
      <c r="B39" s="41"/>
      <c r="C39" s="41"/>
    </row>
    <row r="40" spans="2:25" s="42" customFormat="1">
      <c r="B40" s="41"/>
      <c r="C40" s="41"/>
    </row>
    <row r="41" spans="2:25" s="42" customFormat="1">
      <c r="B41" s="41"/>
      <c r="C41" s="41"/>
    </row>
    <row r="42" spans="2:25" s="42" customFormat="1">
      <c r="B42" s="41"/>
      <c r="C42" s="41"/>
    </row>
    <row r="43" spans="2:25" s="42" customFormat="1">
      <c r="B43" s="41"/>
      <c r="C43" s="41"/>
    </row>
    <row r="44" spans="2:25" s="42" customFormat="1">
      <c r="B44" s="41"/>
      <c r="C44" s="41"/>
    </row>
    <row r="45" spans="2:25" s="39" customFormat="1">
      <c r="C45" s="39" t="s">
        <v>60</v>
      </c>
      <c r="D45" s="39" t="s">
        <v>61</v>
      </c>
      <c r="E45" s="39" t="s">
        <v>66</v>
      </c>
      <c r="F45" s="39" t="s">
        <v>62</v>
      </c>
      <c r="G45" s="39" t="s">
        <v>57</v>
      </c>
      <c r="H45" s="39" t="s">
        <v>67</v>
      </c>
      <c r="I45" s="39" t="s">
        <v>63</v>
      </c>
      <c r="J45" s="39" t="s">
        <v>0</v>
      </c>
      <c r="K45" s="40" t="s">
        <v>2</v>
      </c>
      <c r="L45" s="39" t="s">
        <v>89</v>
      </c>
      <c r="M45" s="40" t="s">
        <v>127</v>
      </c>
      <c r="N45" s="40" t="s">
        <v>128</v>
      </c>
    </row>
    <row r="46" spans="2:25" s="39" customFormat="1">
      <c r="B46" s="39" t="s">
        <v>64</v>
      </c>
      <c r="C46" s="39">
        <v>593</v>
      </c>
      <c r="D46" s="39">
        <v>635</v>
      </c>
      <c r="E46" s="39">
        <v>619</v>
      </c>
      <c r="F46" s="39">
        <v>633</v>
      </c>
      <c r="G46" s="39">
        <v>609</v>
      </c>
      <c r="H46" s="39">
        <v>557</v>
      </c>
      <c r="I46" s="39">
        <v>590</v>
      </c>
      <c r="J46" s="39">
        <v>613</v>
      </c>
      <c r="K46" s="40">
        <v>621</v>
      </c>
      <c r="L46" s="40">
        <v>640</v>
      </c>
      <c r="M46" s="40">
        <v>656</v>
      </c>
      <c r="N46" s="39">
        <v>688</v>
      </c>
    </row>
    <row r="47" spans="2:25" s="39" customFormat="1">
      <c r="B47" s="39" t="s">
        <v>73</v>
      </c>
      <c r="C47" s="39">
        <v>255</v>
      </c>
      <c r="D47" s="39">
        <v>220</v>
      </c>
      <c r="E47" s="39">
        <v>187</v>
      </c>
      <c r="F47" s="39">
        <v>168</v>
      </c>
      <c r="G47" s="39">
        <v>172</v>
      </c>
      <c r="H47" s="39">
        <v>175</v>
      </c>
      <c r="I47" s="39">
        <v>176</v>
      </c>
      <c r="J47" s="39">
        <v>176</v>
      </c>
      <c r="K47" s="40">
        <v>182</v>
      </c>
      <c r="L47" s="40">
        <v>194</v>
      </c>
      <c r="M47" s="40">
        <v>222</v>
      </c>
      <c r="N47" s="39">
        <v>231</v>
      </c>
    </row>
    <row r="48" spans="2:25" s="39" customFormat="1">
      <c r="B48" s="39" t="s">
        <v>74</v>
      </c>
      <c r="C48" s="39">
        <v>338</v>
      </c>
      <c r="D48" s="39">
        <v>415</v>
      </c>
      <c r="E48" s="39">
        <v>431</v>
      </c>
      <c r="F48" s="39">
        <v>465</v>
      </c>
      <c r="G48" s="39">
        <v>436</v>
      </c>
      <c r="H48" s="39">
        <v>382</v>
      </c>
      <c r="I48" s="39">
        <v>414</v>
      </c>
      <c r="J48" s="39">
        <v>437</v>
      </c>
      <c r="K48" s="40">
        <v>439</v>
      </c>
      <c r="L48" s="40">
        <v>446</v>
      </c>
      <c r="M48" s="40">
        <v>434</v>
      </c>
      <c r="N48" s="39">
        <v>457</v>
      </c>
    </row>
    <row r="49" spans="2:30" s="40" customFormat="1">
      <c r="B49" s="55"/>
      <c r="C49" s="55"/>
    </row>
    <row r="50" spans="2:30" s="43" customFormat="1">
      <c r="B50" s="44"/>
      <c r="C50" s="44"/>
    </row>
    <row r="51" spans="2:30" s="43" customFormat="1">
      <c r="B51" s="44"/>
      <c r="C51" s="44"/>
    </row>
    <row r="52" spans="2:30" s="43" customFormat="1" hidden="1">
      <c r="B52" s="188" t="s">
        <v>12</v>
      </c>
      <c r="C52" s="188"/>
      <c r="D52" s="180" t="s">
        <v>75</v>
      </c>
      <c r="E52" s="181"/>
      <c r="F52" s="182"/>
      <c r="G52" s="180" t="s">
        <v>80</v>
      </c>
      <c r="H52" s="181"/>
      <c r="I52" s="182"/>
      <c r="J52" s="180" t="s">
        <v>76</v>
      </c>
      <c r="K52" s="181"/>
      <c r="L52" s="182"/>
      <c r="M52" s="180" t="s">
        <v>40</v>
      </c>
      <c r="N52" s="181"/>
      <c r="O52" s="182"/>
      <c r="P52" s="180" t="s">
        <v>32</v>
      </c>
      <c r="Q52" s="181"/>
      <c r="R52" s="182"/>
      <c r="S52" s="180" t="s">
        <v>77</v>
      </c>
      <c r="T52" s="181"/>
      <c r="U52" s="182"/>
      <c r="V52" s="180" t="s">
        <v>78</v>
      </c>
      <c r="W52" s="181"/>
      <c r="X52" s="182"/>
      <c r="Y52" s="180" t="s">
        <v>42</v>
      </c>
      <c r="Z52" s="181"/>
      <c r="AA52" s="182"/>
      <c r="AB52" s="180" t="s">
        <v>2</v>
      </c>
      <c r="AC52" s="181"/>
      <c r="AD52" s="182"/>
    </row>
    <row r="53" spans="2:30" s="43" customFormat="1" ht="27" hidden="1">
      <c r="B53" s="188"/>
      <c r="C53" s="188"/>
      <c r="D53" s="45" t="s">
        <v>81</v>
      </c>
      <c r="E53" s="45" t="s">
        <v>20</v>
      </c>
      <c r="F53" s="45" t="s">
        <v>82</v>
      </c>
      <c r="G53" s="45" t="s">
        <v>17</v>
      </c>
      <c r="H53" s="45" t="s">
        <v>83</v>
      </c>
      <c r="I53" s="45" t="s">
        <v>82</v>
      </c>
      <c r="J53" s="45" t="s">
        <v>81</v>
      </c>
      <c r="K53" s="45" t="s">
        <v>20</v>
      </c>
      <c r="L53" s="45" t="s">
        <v>82</v>
      </c>
      <c r="M53" s="45" t="s">
        <v>19</v>
      </c>
      <c r="N53" s="45" t="s">
        <v>83</v>
      </c>
      <c r="O53" s="45" t="s">
        <v>82</v>
      </c>
      <c r="P53" s="45" t="s">
        <v>19</v>
      </c>
      <c r="Q53" s="45" t="s">
        <v>20</v>
      </c>
      <c r="R53" s="45" t="s">
        <v>43</v>
      </c>
      <c r="S53" s="45" t="s">
        <v>19</v>
      </c>
      <c r="T53" s="45" t="s">
        <v>84</v>
      </c>
      <c r="U53" s="45" t="s">
        <v>82</v>
      </c>
      <c r="V53" s="45" t="s">
        <v>19</v>
      </c>
      <c r="W53" s="45" t="s">
        <v>83</v>
      </c>
      <c r="X53" s="45" t="s">
        <v>43</v>
      </c>
      <c r="Y53" s="45" t="s">
        <v>85</v>
      </c>
      <c r="Z53" s="45" t="s">
        <v>20</v>
      </c>
      <c r="AA53" s="45" t="s">
        <v>43</v>
      </c>
      <c r="AB53" s="45" t="s">
        <v>85</v>
      </c>
      <c r="AC53" s="45" t="s">
        <v>20</v>
      </c>
      <c r="AD53" s="45" t="s">
        <v>43</v>
      </c>
    </row>
    <row r="54" spans="2:30" s="43" customFormat="1" ht="17.25" hidden="1">
      <c r="B54" s="185" t="s">
        <v>22</v>
      </c>
      <c r="C54" s="46" t="s">
        <v>21</v>
      </c>
      <c r="D54" s="47">
        <v>574.0314749022466</v>
      </c>
      <c r="E54" s="48">
        <v>254.8893269014477</v>
      </c>
      <c r="F54" s="49">
        <f>D54-E54</f>
        <v>319.1421480007989</v>
      </c>
      <c r="G54" s="47">
        <v>619.25872197418482</v>
      </c>
      <c r="H54" s="48">
        <v>216.98630245495605</v>
      </c>
      <c r="I54" s="49">
        <f>G54-H54</f>
        <v>402.27241951922878</v>
      </c>
      <c r="J54" s="47">
        <v>606.85763436940306</v>
      </c>
      <c r="K54" s="48">
        <v>183.87223668870689</v>
      </c>
      <c r="L54" s="49">
        <f>J54-K54</f>
        <v>422.98539768069617</v>
      </c>
      <c r="M54" s="48">
        <v>621.81125255420784</v>
      </c>
      <c r="N54" s="47">
        <v>166.59326153929618</v>
      </c>
      <c r="O54" s="49">
        <f>M54-N54</f>
        <v>455.21799101491166</v>
      </c>
      <c r="P54" s="48">
        <v>600.01843862465262</v>
      </c>
      <c r="Q54" s="47">
        <v>170.30822204963101</v>
      </c>
      <c r="R54" s="49">
        <f>P54-Q54</f>
        <v>429.7102165750216</v>
      </c>
      <c r="S54" s="48">
        <v>551.19833731911001</v>
      </c>
      <c r="T54" s="47">
        <v>174.73695680126104</v>
      </c>
      <c r="U54" s="49">
        <f>S54-T54</f>
        <v>376.46138051784897</v>
      </c>
      <c r="V54" s="48">
        <v>571.43717351807322</v>
      </c>
      <c r="W54" s="47">
        <v>175.91026825901992</v>
      </c>
      <c r="X54" s="49">
        <f>V54-W54</f>
        <v>395.52690525905331</v>
      </c>
      <c r="Y54" s="48">
        <v>593.37523997978997</v>
      </c>
      <c r="Z54" s="47">
        <v>174.46168118650615</v>
      </c>
      <c r="AA54" s="49">
        <f>Y54-Z54</f>
        <v>418.91355879328381</v>
      </c>
      <c r="AB54" s="48">
        <v>596.0120117861785</v>
      </c>
      <c r="AC54" s="47">
        <v>181.27076294940989</v>
      </c>
      <c r="AD54" s="49">
        <f>AB54-AC54</f>
        <v>414.74124883676859</v>
      </c>
    </row>
    <row r="55" spans="2:30" s="43" customFormat="1" ht="17.25" hidden="1">
      <c r="B55" s="186"/>
      <c r="C55" s="46" t="s">
        <v>24</v>
      </c>
      <c r="D55" s="47">
        <v>678.22369177781036</v>
      </c>
      <c r="E55" s="48">
        <v>254.99279395016765</v>
      </c>
      <c r="F55" s="49">
        <f>D55-E55</f>
        <v>423.23089782764271</v>
      </c>
      <c r="G55" s="47">
        <v>728.04254274248694</v>
      </c>
      <c r="H55" s="48">
        <v>230.90096089556852</v>
      </c>
      <c r="I55" s="49">
        <f>G55-H55</f>
        <v>497.14158184691843</v>
      </c>
      <c r="J55" s="47">
        <v>708.89753935557565</v>
      </c>
      <c r="K55" s="48">
        <v>213.31550527362259</v>
      </c>
      <c r="L55" s="49">
        <f>J55-K55</f>
        <v>495.58203408195305</v>
      </c>
      <c r="M55" s="48">
        <v>715.06322475766467</v>
      </c>
      <c r="N55" s="47">
        <v>178.43946255681917</v>
      </c>
      <c r="O55" s="49">
        <f>M55-N55</f>
        <v>536.62376220084548</v>
      </c>
      <c r="P55" s="48">
        <v>669.63108513420536</v>
      </c>
      <c r="Q55" s="47">
        <v>194.38733272042495</v>
      </c>
      <c r="R55" s="49">
        <f>P55-Q55</f>
        <v>475.24375241378038</v>
      </c>
      <c r="S55" s="48">
        <v>643.89519612041681</v>
      </c>
      <c r="T55" s="47">
        <v>178.28237941754236</v>
      </c>
      <c r="U55" s="49">
        <f>S55-T55</f>
        <v>465.61281670287445</v>
      </c>
      <c r="V55" s="48">
        <v>648.196463856077</v>
      </c>
      <c r="W55" s="47">
        <v>180.40131719220105</v>
      </c>
      <c r="X55" s="49">
        <f>V55-W55</f>
        <v>467.79514666387593</v>
      </c>
      <c r="Y55" s="48">
        <v>709.09932209273586</v>
      </c>
      <c r="Z55" s="47">
        <v>188.50234302755794</v>
      </c>
      <c r="AA55" s="49">
        <f>Y55-Z55</f>
        <v>520.59697906517795</v>
      </c>
      <c r="AB55" s="48">
        <v>733.72060136582206</v>
      </c>
      <c r="AC55" s="47">
        <v>192.9024588063586</v>
      </c>
      <c r="AD55" s="49">
        <f>AB55-AC55</f>
        <v>540.81814255946347</v>
      </c>
    </row>
    <row r="56" spans="2:30" s="43" customFormat="1" ht="17.25" hidden="1">
      <c r="B56" s="187"/>
      <c r="C56" s="50"/>
      <c r="D56" s="51">
        <v>586.10937581523967</v>
      </c>
      <c r="E56" s="51">
        <v>254.9013207412917</v>
      </c>
      <c r="F56" s="52">
        <f>D56-E56</f>
        <v>331.208055073948</v>
      </c>
      <c r="G56" s="51">
        <v>630.81034725003667</v>
      </c>
      <c r="H56" s="51">
        <v>218.46388357880522</v>
      </c>
      <c r="I56" s="52">
        <f>G56-H56</f>
        <v>412.34646367123145</v>
      </c>
      <c r="J56" s="51">
        <v>616.78638742506382</v>
      </c>
      <c r="K56" s="51">
        <v>186.73714471631374</v>
      </c>
      <c r="L56" s="52">
        <f>J56-K56</f>
        <v>430.04924270875006</v>
      </c>
      <c r="M56" s="51">
        <v>631.16099845264557</v>
      </c>
      <c r="N56" s="51">
        <v>167.78100016571366</v>
      </c>
      <c r="O56" s="52">
        <f>M56-N56</f>
        <v>463.37999828693194</v>
      </c>
      <c r="P56" s="51">
        <v>606.76506351199703</v>
      </c>
      <c r="Q56" s="51">
        <v>172.64188892572665</v>
      </c>
      <c r="R56" s="52">
        <f>P56-Q56</f>
        <v>434.12317458627035</v>
      </c>
      <c r="S56" s="51">
        <v>559.0537247706668</v>
      </c>
      <c r="T56" s="51">
        <v>175.0374056912294</v>
      </c>
      <c r="U56" s="52">
        <f>S56-T56</f>
        <v>384.01631907943738</v>
      </c>
      <c r="V56" s="51">
        <v>587.29525925618714</v>
      </c>
      <c r="W56" s="51">
        <v>176.83809652218963</v>
      </c>
      <c r="X56" s="52">
        <f>V56-W56</f>
        <v>410.45716273399751</v>
      </c>
      <c r="Y56" s="51">
        <v>611.97224368065065</v>
      </c>
      <c r="Z56" s="51">
        <v>176.71803297995328</v>
      </c>
      <c r="AA56" s="52">
        <f>Y56-Z56</f>
        <v>435.2542107006974</v>
      </c>
      <c r="AB56" s="51">
        <v>616.06000304495126</v>
      </c>
      <c r="AC56" s="51">
        <v>182.96413688909388</v>
      </c>
      <c r="AD56" s="52">
        <f>AB56-AC56</f>
        <v>433.09586615585738</v>
      </c>
    </row>
    <row r="57" spans="2:30" s="43" customFormat="1" ht="17.25" hidden="1">
      <c r="B57" s="53" t="s">
        <v>86</v>
      </c>
      <c r="C57" s="54" t="s">
        <v>79</v>
      </c>
      <c r="D57" s="47">
        <v>642.52177783763432</v>
      </c>
      <c r="E57" s="48">
        <v>254.66874123294122</v>
      </c>
      <c r="F57" s="49">
        <f>D57-E57</f>
        <v>387.8530366046931</v>
      </c>
      <c r="G57" s="47">
        <v>674.76783019010998</v>
      </c>
      <c r="H57" s="48">
        <v>231.98448375103573</v>
      </c>
      <c r="I57" s="49">
        <f>G57-H57</f>
        <v>442.78334643907425</v>
      </c>
      <c r="J57" s="47">
        <v>641.31838265486942</v>
      </c>
      <c r="K57" s="48">
        <v>195.1740757141273</v>
      </c>
      <c r="L57" s="49">
        <f>J57-K57</f>
        <v>446.14430694074213</v>
      </c>
      <c r="M57" s="48">
        <v>651.26771447685189</v>
      </c>
      <c r="N57" s="47">
        <v>169.26446197060793</v>
      </c>
      <c r="O57" s="49">
        <f>M57-N57</f>
        <v>482.00325250624394</v>
      </c>
      <c r="P57" s="48">
        <v>622.05200461732534</v>
      </c>
      <c r="Q57" s="47">
        <v>171.40111920956443</v>
      </c>
      <c r="R57" s="49">
        <f>P57-Q57</f>
        <v>450.65088540776094</v>
      </c>
      <c r="S57" s="48">
        <v>545.71932439553666</v>
      </c>
      <c r="T57" s="47">
        <v>173.78912384036838</v>
      </c>
      <c r="U57" s="49">
        <f>S57-T57</f>
        <v>371.93020055516831</v>
      </c>
      <c r="V57" s="48">
        <v>613.03029101761877</v>
      </c>
      <c r="W57" s="47">
        <v>173.41185317925019</v>
      </c>
      <c r="X57" s="49">
        <f>V57-W57</f>
        <v>439.61843783836855</v>
      </c>
      <c r="Y57" s="48">
        <v>626.90556588573702</v>
      </c>
      <c r="Z57" s="47">
        <v>173.34567688253188</v>
      </c>
      <c r="AA57" s="49">
        <f>Y57-Z57</f>
        <v>453.55988900320517</v>
      </c>
      <c r="AB57" s="48">
        <v>642.95110384778434</v>
      </c>
      <c r="AC57" s="47">
        <v>179.04314693668351</v>
      </c>
      <c r="AD57" s="49">
        <f>AB57-AC57</f>
        <v>463.90795691110083</v>
      </c>
    </row>
    <row r="58" spans="2:30" s="43" customFormat="1" ht="17.25" hidden="1">
      <c r="B58" s="183" t="s">
        <v>30</v>
      </c>
      <c r="C58" s="184"/>
      <c r="D58" s="51">
        <v>592.93138407581819</v>
      </c>
      <c r="E58" s="51">
        <v>254.87319466847217</v>
      </c>
      <c r="F58" s="52">
        <f>D58-E58</f>
        <v>338.05818940734605</v>
      </c>
      <c r="G58" s="51">
        <v>634.5161050998056</v>
      </c>
      <c r="H58" s="51">
        <v>219.6037138618571</v>
      </c>
      <c r="I58" s="52">
        <f>G58-H58</f>
        <v>414.9123912379485</v>
      </c>
      <c r="J58" s="51">
        <v>618.83710862353075</v>
      </c>
      <c r="K58" s="51">
        <v>187.44241932138121</v>
      </c>
      <c r="L58" s="52">
        <f>J58-K58</f>
        <v>431.39468930214957</v>
      </c>
      <c r="M58" s="51">
        <v>632.77724438012388</v>
      </c>
      <c r="N58" s="51">
        <v>167.90024584948642</v>
      </c>
      <c r="O58" s="52">
        <f>M58-N58</f>
        <v>464.87699853063748</v>
      </c>
      <c r="P58" s="51">
        <v>608.60445724137787</v>
      </c>
      <c r="Q58" s="51">
        <v>172.49259391505134</v>
      </c>
      <c r="R58" s="52">
        <f>P58-Q58</f>
        <v>436.11186332632656</v>
      </c>
      <c r="S58" s="51">
        <v>557.1104770414014</v>
      </c>
      <c r="T58" s="51">
        <v>174.85549118409534</v>
      </c>
      <c r="U58" s="52">
        <f>S58-T58</f>
        <v>382.25498585730605</v>
      </c>
      <c r="V58" s="51">
        <v>590.33681400738919</v>
      </c>
      <c r="W58" s="51">
        <v>176.43315796158882</v>
      </c>
      <c r="X58" s="52">
        <f>V58-W58</f>
        <v>413.9036560458004</v>
      </c>
      <c r="Y58" s="51">
        <v>613.44105285964736</v>
      </c>
      <c r="Z58" s="51">
        <v>176.38633534946541</v>
      </c>
      <c r="AA58" s="52">
        <f>Y58-Z58</f>
        <v>437.05471751018194</v>
      </c>
      <c r="AB58" s="51">
        <v>620.80493857279657</v>
      </c>
      <c r="AC58" s="51">
        <v>182.27227809662827</v>
      </c>
      <c r="AD58" s="52">
        <f>AB58-AC58</f>
        <v>438.5326604761683</v>
      </c>
    </row>
    <row r="59" spans="2:30" s="43" customFormat="1" hidden="1">
      <c r="B59" s="44"/>
      <c r="C59" s="44"/>
    </row>
    <row r="60" spans="2:30" s="43" customFormat="1" hidden="1">
      <c r="B60" s="44"/>
      <c r="C60" s="44"/>
    </row>
    <row r="61" spans="2:30" s="43" customFormat="1" hidden="1">
      <c r="B61" s="44"/>
      <c r="C61" s="44"/>
    </row>
    <row r="62" spans="2:30" s="43" customFormat="1" hidden="1">
      <c r="B62" s="44"/>
      <c r="C62" s="44"/>
    </row>
    <row r="63" spans="2:30" s="43" customFormat="1">
      <c r="B63" s="44"/>
      <c r="C63" s="44"/>
    </row>
    <row r="64" spans="2:30">
      <c r="B64" s="2"/>
      <c r="C64" s="2"/>
      <c r="X64"/>
      <c r="Y64"/>
    </row>
    <row r="65" spans="2:25">
      <c r="B65" s="2"/>
      <c r="C65" s="2"/>
      <c r="X65"/>
      <c r="Y65"/>
    </row>
    <row r="66" spans="2:25">
      <c r="B66" s="2"/>
      <c r="C66" s="2"/>
      <c r="X66"/>
      <c r="Y66"/>
    </row>
    <row r="67" spans="2:25">
      <c r="B67" s="2"/>
      <c r="C67" s="2"/>
      <c r="X67"/>
      <c r="Y67"/>
    </row>
    <row r="68" spans="2:25">
      <c r="B68" s="2"/>
      <c r="C68" s="2"/>
      <c r="X68"/>
      <c r="Y68"/>
    </row>
    <row r="69" spans="2:25">
      <c r="B69" s="2"/>
      <c r="C69" s="2"/>
      <c r="X69"/>
      <c r="Y69"/>
    </row>
    <row r="70" spans="2:25">
      <c r="B70" s="2"/>
      <c r="C70" s="2"/>
      <c r="X70"/>
      <c r="Y70"/>
    </row>
    <row r="71" spans="2:25">
      <c r="B71" s="2"/>
      <c r="C71" s="2"/>
      <c r="X71"/>
      <c r="Y71"/>
    </row>
    <row r="72" spans="2:25">
      <c r="B72" s="2"/>
      <c r="C72" s="2"/>
      <c r="X72"/>
      <c r="Y72"/>
    </row>
    <row r="73" spans="2:25">
      <c r="B73" s="2"/>
      <c r="C73" s="2"/>
      <c r="X73"/>
      <c r="Y73"/>
    </row>
    <row r="74" spans="2:25">
      <c r="B74" s="2"/>
      <c r="C74" s="2"/>
      <c r="X74"/>
      <c r="Y74"/>
    </row>
    <row r="75" spans="2:25">
      <c r="B75" s="2"/>
      <c r="C75" s="2"/>
      <c r="X75"/>
      <c r="Y75"/>
    </row>
    <row r="76" spans="2:25">
      <c r="B76" s="2"/>
      <c r="C76" s="2"/>
      <c r="X76"/>
      <c r="Y76"/>
    </row>
    <row r="77" spans="2:25">
      <c r="B77" s="2"/>
      <c r="C77" s="2"/>
      <c r="X77"/>
      <c r="Y77"/>
    </row>
    <row r="78" spans="2:25">
      <c r="B78" s="2"/>
      <c r="C78" s="2"/>
      <c r="X78"/>
      <c r="Y78"/>
    </row>
    <row r="79" spans="2:25">
      <c r="B79" s="2"/>
      <c r="C79" s="2"/>
      <c r="X79"/>
      <c r="Y79"/>
    </row>
    <row r="80" spans="2:25">
      <c r="B80" s="2"/>
      <c r="C80" s="2"/>
      <c r="X80"/>
      <c r="Y80"/>
    </row>
    <row r="81" spans="2:25">
      <c r="B81" s="2"/>
      <c r="C81" s="2"/>
      <c r="X81"/>
      <c r="Y81"/>
    </row>
    <row r="82" spans="2:25">
      <c r="B82" s="2"/>
      <c r="C82" s="2"/>
      <c r="X82"/>
      <c r="Y82"/>
    </row>
    <row r="83" spans="2:25">
      <c r="B83" s="2"/>
      <c r="C83" s="2"/>
      <c r="X83"/>
      <c r="Y83"/>
    </row>
    <row r="84" spans="2:25">
      <c r="B84" s="2"/>
      <c r="C84" s="2"/>
      <c r="X84"/>
      <c r="Y84"/>
    </row>
    <row r="85" spans="2:25">
      <c r="B85" s="2"/>
      <c r="C85" s="2"/>
      <c r="X85"/>
      <c r="Y85"/>
    </row>
    <row r="86" spans="2:25">
      <c r="B86" s="2"/>
      <c r="C86" s="2"/>
      <c r="X86"/>
      <c r="Y86"/>
    </row>
    <row r="87" spans="2:25">
      <c r="B87" s="2"/>
      <c r="C87" s="2"/>
      <c r="X87"/>
      <c r="Y87"/>
    </row>
    <row r="88" spans="2:25">
      <c r="B88" s="2"/>
      <c r="C88" s="2"/>
      <c r="X88"/>
      <c r="Y88"/>
    </row>
    <row r="89" spans="2:25">
      <c r="B89" s="2"/>
      <c r="C89" s="2"/>
      <c r="X89"/>
      <c r="Y89"/>
    </row>
    <row r="90" spans="2:25">
      <c r="B90" s="2"/>
      <c r="C90" s="2"/>
      <c r="X90"/>
      <c r="Y90"/>
    </row>
    <row r="91" spans="2:25">
      <c r="B91" s="2"/>
      <c r="C91" s="2"/>
      <c r="X91"/>
      <c r="Y91"/>
    </row>
    <row r="92" spans="2:25">
      <c r="B92" s="2"/>
      <c r="C92" s="2"/>
      <c r="X92"/>
      <c r="Y92"/>
    </row>
    <row r="93" spans="2:25">
      <c r="B93" s="2"/>
      <c r="C93" s="2"/>
      <c r="X93"/>
      <c r="Y93"/>
    </row>
    <row r="94" spans="2:25">
      <c r="B94" s="2"/>
      <c r="C94" s="2"/>
      <c r="X94"/>
      <c r="Y94"/>
    </row>
    <row r="95" spans="2:25">
      <c r="B95" s="2"/>
      <c r="C95" s="2"/>
      <c r="X95"/>
      <c r="Y95"/>
    </row>
    <row r="96" spans="2:25">
      <c r="D96" s="2"/>
      <c r="E96" s="2"/>
      <c r="X96"/>
      <c r="Y96"/>
    </row>
    <row r="97" spans="4:25">
      <c r="D97" s="2"/>
      <c r="E97" s="2"/>
      <c r="X97"/>
      <c r="Y97"/>
    </row>
    <row r="98" spans="4:25">
      <c r="D98" s="2"/>
      <c r="E98" s="2"/>
      <c r="X98"/>
      <c r="Y98"/>
    </row>
    <row r="99" spans="4:25">
      <c r="D99" s="2"/>
      <c r="E99" s="2"/>
      <c r="X99"/>
      <c r="Y99"/>
    </row>
    <row r="100" spans="4:25">
      <c r="D100" s="2"/>
      <c r="E100" s="2"/>
      <c r="X100"/>
      <c r="Y100"/>
    </row>
    <row r="101" spans="4:25">
      <c r="D101" s="2"/>
      <c r="E101" s="2"/>
      <c r="X101"/>
      <c r="Y101"/>
    </row>
    <row r="102" spans="4:25">
      <c r="D102" s="2"/>
      <c r="E102" s="2"/>
      <c r="X102"/>
      <c r="Y102"/>
    </row>
    <row r="103" spans="4:25">
      <c r="D103" s="2"/>
      <c r="E103" s="2"/>
      <c r="X103"/>
      <c r="Y103"/>
    </row>
    <row r="104" spans="4:25">
      <c r="D104" s="2"/>
      <c r="E104" s="2"/>
      <c r="X104"/>
      <c r="Y104"/>
    </row>
    <row r="105" spans="4:25">
      <c r="D105" s="2"/>
      <c r="E105" s="2"/>
      <c r="X105"/>
      <c r="Y105"/>
    </row>
    <row r="106" spans="4:25">
      <c r="D106" s="2"/>
      <c r="E106" s="2"/>
      <c r="X106"/>
      <c r="Y106"/>
    </row>
    <row r="107" spans="4:25">
      <c r="D107" s="2"/>
      <c r="E107" s="2"/>
      <c r="X107"/>
      <c r="Y107"/>
    </row>
    <row r="108" spans="4:25">
      <c r="D108" s="2"/>
      <c r="E108" s="2"/>
      <c r="X108"/>
      <c r="Y108"/>
    </row>
    <row r="109" spans="4:25">
      <c r="D109" s="2"/>
      <c r="E109" s="2"/>
      <c r="X109"/>
      <c r="Y109"/>
    </row>
    <row r="110" spans="4:25">
      <c r="D110" s="2"/>
      <c r="E110" s="2"/>
      <c r="X110"/>
      <c r="Y110"/>
    </row>
    <row r="111" spans="4:25">
      <c r="D111" s="2"/>
      <c r="E111" s="2"/>
      <c r="X111"/>
      <c r="Y111"/>
    </row>
    <row r="112" spans="4:25">
      <c r="D112" s="2"/>
      <c r="E112" s="2"/>
      <c r="X112"/>
      <c r="Y112"/>
    </row>
    <row r="113" spans="4:25">
      <c r="D113" s="2"/>
      <c r="E113" s="2"/>
      <c r="X113"/>
      <c r="Y113"/>
    </row>
    <row r="114" spans="4:25">
      <c r="D114" s="2"/>
      <c r="E114" s="2"/>
      <c r="X114"/>
      <c r="Y114"/>
    </row>
    <row r="115" spans="4:25">
      <c r="D115" s="2"/>
      <c r="E115" s="2"/>
      <c r="X115"/>
      <c r="Y115"/>
    </row>
    <row r="116" spans="4:25">
      <c r="D116" s="2"/>
      <c r="E116" s="2"/>
      <c r="X116"/>
      <c r="Y116"/>
    </row>
    <row r="117" spans="4:25">
      <c r="D117" s="2"/>
      <c r="E117" s="2"/>
      <c r="X117"/>
      <c r="Y117"/>
    </row>
    <row r="118" spans="4:25">
      <c r="D118" s="2"/>
      <c r="E118" s="2"/>
      <c r="X118"/>
      <c r="Y118"/>
    </row>
    <row r="119" spans="4:25">
      <c r="D119" s="2"/>
      <c r="E119" s="2"/>
      <c r="X119"/>
      <c r="Y119"/>
    </row>
    <row r="120" spans="4:25">
      <c r="D120" s="2"/>
      <c r="E120" s="2"/>
      <c r="X120"/>
      <c r="Y120"/>
    </row>
    <row r="121" spans="4:25">
      <c r="D121" s="2"/>
      <c r="E121" s="2"/>
      <c r="X121"/>
      <c r="Y121"/>
    </row>
    <row r="122" spans="4:25">
      <c r="D122" s="2"/>
      <c r="E122" s="2"/>
      <c r="X122"/>
      <c r="Y122"/>
    </row>
    <row r="123" spans="4:25">
      <c r="D123" s="2"/>
      <c r="E123" s="2"/>
      <c r="X123"/>
      <c r="Y123"/>
    </row>
    <row r="124" spans="4:25">
      <c r="D124" s="2"/>
      <c r="E124" s="2"/>
      <c r="X124"/>
      <c r="Y124"/>
    </row>
    <row r="125" spans="4:25">
      <c r="D125" s="2"/>
      <c r="E125" s="2"/>
      <c r="X125"/>
      <c r="Y125"/>
    </row>
    <row r="126" spans="4:25">
      <c r="D126" s="2"/>
      <c r="E126" s="2"/>
      <c r="X126"/>
      <c r="Y126"/>
    </row>
    <row r="127" spans="4:25">
      <c r="D127" s="2"/>
      <c r="E127" s="2"/>
      <c r="X127"/>
      <c r="Y127"/>
    </row>
    <row r="128" spans="4:25">
      <c r="D128" s="2"/>
      <c r="E128" s="2"/>
      <c r="X128"/>
      <c r="Y128"/>
    </row>
    <row r="129" spans="4:25">
      <c r="D129" s="2"/>
      <c r="E129" s="2"/>
      <c r="X129"/>
      <c r="Y129"/>
    </row>
    <row r="130" spans="4:25">
      <c r="D130" s="2"/>
      <c r="E130" s="2"/>
      <c r="X130"/>
      <c r="Y130"/>
    </row>
    <row r="131" spans="4:25">
      <c r="D131" s="2"/>
      <c r="E131" s="2"/>
      <c r="X131"/>
      <c r="Y131"/>
    </row>
    <row r="132" spans="4:25">
      <c r="D132" s="2"/>
      <c r="E132" s="2"/>
      <c r="X132"/>
      <c r="Y132"/>
    </row>
    <row r="133" spans="4:25">
      <c r="D133" s="2"/>
      <c r="E133" s="2"/>
      <c r="X133"/>
      <c r="Y133"/>
    </row>
    <row r="134" spans="4:25">
      <c r="D134" s="2"/>
      <c r="E134" s="2"/>
      <c r="X134"/>
      <c r="Y134"/>
    </row>
    <row r="135" spans="4:25">
      <c r="D135" s="2"/>
      <c r="E135" s="2"/>
      <c r="X135"/>
      <c r="Y135"/>
    </row>
    <row r="136" spans="4:25">
      <c r="D136" s="2"/>
      <c r="E136" s="2"/>
      <c r="X136"/>
      <c r="Y136"/>
    </row>
    <row r="137" spans="4:25">
      <c r="D137" s="2"/>
      <c r="E137" s="2"/>
      <c r="X137"/>
      <c r="Y137"/>
    </row>
    <row r="138" spans="4:25">
      <c r="D138" s="2"/>
      <c r="E138" s="2"/>
      <c r="X138"/>
      <c r="Y138"/>
    </row>
    <row r="139" spans="4:25">
      <c r="D139" s="2"/>
      <c r="E139" s="2"/>
      <c r="X139"/>
      <c r="Y139"/>
    </row>
    <row r="140" spans="4:25">
      <c r="D140" s="2"/>
      <c r="E140" s="2"/>
      <c r="X140"/>
      <c r="Y140"/>
    </row>
    <row r="141" spans="4:25">
      <c r="D141" s="2"/>
      <c r="E141" s="2"/>
      <c r="X141"/>
      <c r="Y141"/>
    </row>
    <row r="142" spans="4:25">
      <c r="D142" s="2"/>
      <c r="E142" s="2"/>
      <c r="X142"/>
      <c r="Y142"/>
    </row>
    <row r="143" spans="4:25">
      <c r="D143" s="2"/>
      <c r="E143" s="2"/>
      <c r="X143"/>
      <c r="Y143"/>
    </row>
    <row r="144" spans="4:25">
      <c r="D144" s="2"/>
      <c r="E144" s="2"/>
      <c r="X144"/>
      <c r="Y144"/>
    </row>
    <row r="145" spans="4:25">
      <c r="D145" s="2"/>
      <c r="E145" s="2"/>
      <c r="X145"/>
      <c r="Y145"/>
    </row>
    <row r="146" spans="4:25">
      <c r="D146" s="2"/>
      <c r="E146" s="2"/>
      <c r="X146"/>
      <c r="Y146"/>
    </row>
    <row r="147" spans="4:25">
      <c r="D147" s="2"/>
      <c r="E147" s="2"/>
      <c r="X147"/>
      <c r="Y147"/>
    </row>
    <row r="148" spans="4:25">
      <c r="D148" s="2"/>
      <c r="E148" s="2"/>
      <c r="X148"/>
      <c r="Y148"/>
    </row>
    <row r="149" spans="4:25">
      <c r="D149" s="2"/>
      <c r="E149" s="2"/>
      <c r="X149"/>
      <c r="Y149"/>
    </row>
    <row r="150" spans="4:25">
      <c r="D150" s="2"/>
      <c r="E150" s="2"/>
      <c r="X150"/>
      <c r="Y150"/>
    </row>
    <row r="151" spans="4:25">
      <c r="D151" s="2"/>
      <c r="E151" s="2"/>
      <c r="X151"/>
      <c r="Y151"/>
    </row>
    <row r="152" spans="4:25">
      <c r="D152" s="2"/>
      <c r="E152" s="2"/>
      <c r="X152"/>
      <c r="Y152"/>
    </row>
    <row r="153" spans="4:25">
      <c r="D153" s="2"/>
      <c r="E153" s="2"/>
      <c r="X153"/>
      <c r="Y153"/>
    </row>
    <row r="154" spans="4:25">
      <c r="D154" s="2"/>
      <c r="E154" s="2"/>
      <c r="X154"/>
      <c r="Y154"/>
    </row>
    <row r="155" spans="4:25">
      <c r="D155" s="2"/>
      <c r="E155" s="2"/>
      <c r="X155"/>
      <c r="Y155"/>
    </row>
    <row r="156" spans="4:25">
      <c r="D156" s="2"/>
      <c r="E156" s="2"/>
      <c r="X156"/>
      <c r="Y156"/>
    </row>
    <row r="157" spans="4:25">
      <c r="D157" s="2"/>
      <c r="E157" s="2"/>
      <c r="X157"/>
      <c r="Y157"/>
    </row>
    <row r="158" spans="4:25">
      <c r="D158" s="2"/>
      <c r="E158" s="2"/>
      <c r="X158"/>
      <c r="Y158"/>
    </row>
    <row r="159" spans="4:25">
      <c r="D159" s="2"/>
      <c r="E159" s="2"/>
      <c r="X159"/>
      <c r="Y159"/>
    </row>
    <row r="160" spans="4:25">
      <c r="D160" s="2"/>
      <c r="E160" s="2"/>
      <c r="X160"/>
      <c r="Y160"/>
    </row>
    <row r="161" spans="4:25">
      <c r="D161" s="2"/>
      <c r="E161" s="2"/>
      <c r="X161"/>
      <c r="Y161"/>
    </row>
    <row r="162" spans="4:25">
      <c r="D162" s="2"/>
      <c r="E162" s="2"/>
      <c r="X162"/>
      <c r="Y162"/>
    </row>
    <row r="163" spans="4:25">
      <c r="D163" s="2"/>
      <c r="E163" s="2"/>
      <c r="X163"/>
      <c r="Y163"/>
    </row>
    <row r="164" spans="4:25">
      <c r="D164" s="2"/>
      <c r="E164" s="2"/>
      <c r="X164"/>
      <c r="Y164"/>
    </row>
    <row r="165" spans="4:25">
      <c r="D165" s="2"/>
      <c r="E165" s="2"/>
      <c r="X165"/>
      <c r="Y165"/>
    </row>
    <row r="166" spans="4:25">
      <c r="D166" s="2"/>
      <c r="E166" s="2"/>
      <c r="X166"/>
      <c r="Y166"/>
    </row>
    <row r="167" spans="4:25">
      <c r="D167" s="2"/>
      <c r="E167" s="2"/>
      <c r="X167"/>
      <c r="Y167"/>
    </row>
    <row r="168" spans="4:25">
      <c r="D168" s="2"/>
      <c r="E168" s="2"/>
      <c r="X168"/>
      <c r="Y168"/>
    </row>
    <row r="169" spans="4:25">
      <c r="D169" s="2"/>
      <c r="E169" s="2"/>
      <c r="X169"/>
      <c r="Y169"/>
    </row>
    <row r="170" spans="4:25">
      <c r="D170" s="2"/>
      <c r="E170" s="2"/>
      <c r="X170"/>
      <c r="Y170"/>
    </row>
    <row r="171" spans="4:25">
      <c r="D171" s="2"/>
      <c r="E171" s="2"/>
      <c r="X171"/>
      <c r="Y171"/>
    </row>
    <row r="172" spans="4:25">
      <c r="D172" s="2"/>
      <c r="E172" s="2"/>
      <c r="X172"/>
      <c r="Y172"/>
    </row>
    <row r="173" spans="4:25">
      <c r="D173" s="2"/>
      <c r="E173" s="2"/>
      <c r="X173"/>
      <c r="Y173"/>
    </row>
    <row r="174" spans="4:25">
      <c r="D174" s="2"/>
      <c r="E174" s="2"/>
      <c r="X174"/>
      <c r="Y174"/>
    </row>
    <row r="175" spans="4:25">
      <c r="D175" s="2"/>
      <c r="E175" s="2"/>
      <c r="X175"/>
      <c r="Y175"/>
    </row>
    <row r="176" spans="4:25">
      <c r="D176" s="2"/>
      <c r="E176" s="2"/>
      <c r="X176"/>
      <c r="Y176"/>
    </row>
    <row r="177" spans="4:25">
      <c r="D177" s="2"/>
      <c r="E177" s="2"/>
      <c r="X177"/>
      <c r="Y177"/>
    </row>
    <row r="178" spans="4:25">
      <c r="D178" s="2"/>
      <c r="E178" s="2"/>
      <c r="X178"/>
      <c r="Y178"/>
    </row>
    <row r="179" spans="4:25">
      <c r="D179" s="2"/>
      <c r="E179" s="2"/>
      <c r="X179"/>
      <c r="Y179"/>
    </row>
    <row r="180" spans="4:25">
      <c r="D180" s="2"/>
      <c r="E180" s="2"/>
      <c r="X180"/>
      <c r="Y180"/>
    </row>
    <row r="181" spans="4:25">
      <c r="D181" s="2"/>
      <c r="E181" s="2"/>
      <c r="X181"/>
      <c r="Y181"/>
    </row>
    <row r="182" spans="4:25">
      <c r="D182" s="2"/>
      <c r="E182" s="2"/>
      <c r="X182"/>
      <c r="Y182"/>
    </row>
    <row r="183" spans="4:25">
      <c r="D183" s="2"/>
      <c r="E183" s="2"/>
      <c r="X183"/>
      <c r="Y183"/>
    </row>
    <row r="184" spans="4:25">
      <c r="D184" s="2"/>
      <c r="E184" s="2"/>
      <c r="X184"/>
      <c r="Y184"/>
    </row>
    <row r="185" spans="4:25">
      <c r="D185" s="2"/>
      <c r="E185" s="2"/>
      <c r="X185"/>
      <c r="Y185"/>
    </row>
    <row r="186" spans="4:25">
      <c r="D186" s="2"/>
      <c r="E186" s="2"/>
      <c r="X186"/>
      <c r="Y186"/>
    </row>
    <row r="187" spans="4:25">
      <c r="D187" s="2"/>
      <c r="E187" s="2"/>
      <c r="X187"/>
      <c r="Y187"/>
    </row>
    <row r="188" spans="4:25">
      <c r="D188" s="2"/>
      <c r="E188" s="2"/>
      <c r="X188"/>
      <c r="Y188"/>
    </row>
    <row r="189" spans="4:25">
      <c r="D189" s="2"/>
      <c r="E189" s="2"/>
      <c r="X189"/>
      <c r="Y189"/>
    </row>
    <row r="190" spans="4:25">
      <c r="D190" s="2"/>
      <c r="E190" s="2"/>
      <c r="X190"/>
      <c r="Y190"/>
    </row>
    <row r="191" spans="4:25">
      <c r="D191" s="2"/>
      <c r="E191" s="2"/>
      <c r="X191"/>
      <c r="Y191"/>
    </row>
    <row r="192" spans="4:25">
      <c r="D192" s="2"/>
      <c r="E192" s="2"/>
      <c r="X192"/>
      <c r="Y192"/>
    </row>
    <row r="193" spans="4:25">
      <c r="D193" s="2"/>
      <c r="E193" s="2"/>
      <c r="X193"/>
      <c r="Y193"/>
    </row>
    <row r="194" spans="4:25">
      <c r="D194" s="2"/>
      <c r="E194" s="2"/>
      <c r="X194"/>
      <c r="Y194"/>
    </row>
    <row r="195" spans="4:25">
      <c r="D195" s="2"/>
      <c r="E195" s="2"/>
      <c r="X195"/>
      <c r="Y195"/>
    </row>
    <row r="196" spans="4:25">
      <c r="D196" s="2"/>
      <c r="E196" s="2"/>
      <c r="X196"/>
      <c r="Y196"/>
    </row>
    <row r="197" spans="4:25">
      <c r="D197" s="2"/>
      <c r="E197" s="2"/>
      <c r="X197"/>
      <c r="Y197"/>
    </row>
    <row r="198" spans="4:25">
      <c r="D198" s="2"/>
      <c r="E198" s="2"/>
      <c r="X198"/>
      <c r="Y198"/>
    </row>
    <row r="199" spans="4:25">
      <c r="D199" s="2"/>
      <c r="E199" s="2"/>
      <c r="X199"/>
      <c r="Y199"/>
    </row>
    <row r="200" spans="4:25">
      <c r="D200" s="2"/>
      <c r="E200" s="2"/>
      <c r="X200"/>
      <c r="Y200"/>
    </row>
    <row r="201" spans="4:25">
      <c r="D201" s="2"/>
      <c r="E201" s="2"/>
      <c r="X201"/>
      <c r="Y201"/>
    </row>
    <row r="202" spans="4:25">
      <c r="D202" s="2"/>
      <c r="E202" s="2"/>
      <c r="X202"/>
      <c r="Y202"/>
    </row>
    <row r="203" spans="4:25">
      <c r="D203" s="2"/>
      <c r="E203" s="2"/>
      <c r="X203"/>
      <c r="Y203"/>
    </row>
    <row r="204" spans="4:25">
      <c r="D204" s="2"/>
      <c r="E204" s="2"/>
      <c r="X204"/>
      <c r="Y204"/>
    </row>
    <row r="205" spans="4:25">
      <c r="D205" s="2"/>
      <c r="E205" s="2"/>
      <c r="X205"/>
      <c r="Y205"/>
    </row>
    <row r="206" spans="4:25">
      <c r="D206" s="2"/>
      <c r="E206" s="2"/>
      <c r="X206"/>
      <c r="Y206"/>
    </row>
    <row r="207" spans="4:25">
      <c r="D207" s="2"/>
      <c r="E207" s="2"/>
      <c r="X207"/>
      <c r="Y207"/>
    </row>
    <row r="208" spans="4:25">
      <c r="D208" s="2"/>
      <c r="E208" s="2"/>
      <c r="X208"/>
      <c r="Y208"/>
    </row>
    <row r="209" spans="4:25">
      <c r="D209" s="2"/>
      <c r="E209" s="2"/>
      <c r="X209"/>
      <c r="Y209"/>
    </row>
    <row r="210" spans="4:25">
      <c r="D210" s="2"/>
      <c r="E210" s="2"/>
      <c r="X210"/>
      <c r="Y210"/>
    </row>
    <row r="211" spans="4:25">
      <c r="D211" s="2"/>
      <c r="E211" s="2"/>
      <c r="X211"/>
      <c r="Y211"/>
    </row>
    <row r="212" spans="4:25">
      <c r="D212" s="2"/>
      <c r="E212" s="2"/>
      <c r="X212"/>
      <c r="Y212"/>
    </row>
    <row r="213" spans="4:25">
      <c r="D213" s="2"/>
      <c r="E213" s="2"/>
      <c r="X213"/>
      <c r="Y213"/>
    </row>
    <row r="214" spans="4:25">
      <c r="D214" s="2"/>
      <c r="E214" s="2"/>
      <c r="X214"/>
      <c r="Y214"/>
    </row>
    <row r="215" spans="4:25">
      <c r="D215" s="2"/>
      <c r="E215" s="2"/>
      <c r="X215"/>
      <c r="Y215"/>
    </row>
    <row r="216" spans="4:25">
      <c r="D216" s="2"/>
      <c r="E216" s="2"/>
      <c r="X216"/>
      <c r="Y216"/>
    </row>
    <row r="217" spans="4:25">
      <c r="D217" s="2"/>
      <c r="E217" s="2"/>
      <c r="X217"/>
      <c r="Y217"/>
    </row>
    <row r="218" spans="4:25">
      <c r="D218" s="2"/>
      <c r="E218" s="2"/>
      <c r="X218"/>
      <c r="Y218"/>
    </row>
    <row r="219" spans="4:25">
      <c r="D219" s="2"/>
      <c r="E219" s="2"/>
      <c r="X219"/>
      <c r="Y219"/>
    </row>
    <row r="220" spans="4:25">
      <c r="D220" s="2"/>
      <c r="E220" s="2"/>
      <c r="X220"/>
      <c r="Y220"/>
    </row>
    <row r="221" spans="4:25">
      <c r="D221" s="2"/>
      <c r="E221" s="2"/>
      <c r="X221"/>
      <c r="Y221"/>
    </row>
    <row r="222" spans="4:25">
      <c r="D222" s="2"/>
      <c r="E222" s="2"/>
      <c r="X222"/>
      <c r="Y222"/>
    </row>
    <row r="223" spans="4:25">
      <c r="D223" s="2"/>
      <c r="E223" s="2"/>
      <c r="X223"/>
      <c r="Y223"/>
    </row>
    <row r="224" spans="4:25">
      <c r="D224" s="2"/>
      <c r="E224" s="2"/>
      <c r="X224"/>
      <c r="Y224"/>
    </row>
    <row r="225" spans="4:25">
      <c r="D225" s="2"/>
      <c r="E225" s="2"/>
      <c r="X225"/>
      <c r="Y225"/>
    </row>
    <row r="226" spans="4:25">
      <c r="D226" s="2"/>
      <c r="E226" s="2"/>
      <c r="X226"/>
      <c r="Y226"/>
    </row>
    <row r="227" spans="4:25">
      <c r="D227" s="2"/>
      <c r="E227" s="2"/>
      <c r="X227"/>
      <c r="Y227"/>
    </row>
    <row r="228" spans="4:25">
      <c r="D228" s="2"/>
      <c r="E228" s="2"/>
      <c r="X228"/>
      <c r="Y228"/>
    </row>
    <row r="229" spans="4:25">
      <c r="D229" s="2"/>
      <c r="E229" s="2"/>
      <c r="X229"/>
      <c r="Y229"/>
    </row>
    <row r="230" spans="4:25">
      <c r="D230" s="2"/>
      <c r="E230" s="2"/>
      <c r="X230"/>
      <c r="Y230"/>
    </row>
    <row r="231" spans="4:25">
      <c r="D231" s="2"/>
      <c r="E231" s="2"/>
      <c r="X231"/>
      <c r="Y231"/>
    </row>
    <row r="232" spans="4:25">
      <c r="D232" s="2"/>
      <c r="E232" s="2"/>
      <c r="X232"/>
      <c r="Y232"/>
    </row>
    <row r="233" spans="4:25">
      <c r="D233" s="2"/>
      <c r="E233" s="2"/>
      <c r="X233"/>
      <c r="Y233"/>
    </row>
    <row r="234" spans="4:25">
      <c r="D234" s="2"/>
      <c r="E234" s="2"/>
      <c r="X234"/>
      <c r="Y234"/>
    </row>
    <row r="235" spans="4:25">
      <c r="D235" s="2"/>
      <c r="E235" s="2"/>
      <c r="X235"/>
      <c r="Y235"/>
    </row>
    <row r="236" spans="4:25">
      <c r="D236" s="2"/>
      <c r="E236" s="2"/>
      <c r="X236"/>
      <c r="Y236"/>
    </row>
    <row r="237" spans="4:25">
      <c r="D237" s="2"/>
      <c r="E237" s="2"/>
      <c r="X237"/>
      <c r="Y237"/>
    </row>
  </sheetData>
  <mergeCells count="29">
    <mergeCell ref="B58:C58"/>
    <mergeCell ref="L8:L9"/>
    <mergeCell ref="B54:B56"/>
    <mergeCell ref="B52:C53"/>
    <mergeCell ref="D52:F52"/>
    <mergeCell ref="G52:I52"/>
    <mergeCell ref="J52:L52"/>
    <mergeCell ref="I8:I9"/>
    <mergeCell ref="J8:J9"/>
    <mergeCell ref="B10:B12"/>
    <mergeCell ref="B14:C14"/>
    <mergeCell ref="B7:C9"/>
    <mergeCell ref="D7:H7"/>
    <mergeCell ref="D8:D9"/>
    <mergeCell ref="E8:E9"/>
    <mergeCell ref="F8:F9"/>
    <mergeCell ref="AB52:AD52"/>
    <mergeCell ref="M52:O52"/>
    <mergeCell ref="P52:R52"/>
    <mergeCell ref="S52:U52"/>
    <mergeCell ref="V52:X52"/>
    <mergeCell ref="Y52:AA52"/>
    <mergeCell ref="G8:G9"/>
    <mergeCell ref="H8:H9"/>
    <mergeCell ref="N8:N9"/>
    <mergeCell ref="I7:O7"/>
    <mergeCell ref="O8:O9"/>
    <mergeCell ref="M8:M9"/>
    <mergeCell ref="K8:K9"/>
  </mergeCells>
  <phoneticPr fontId="3" type="noConversion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P49"/>
  <sheetViews>
    <sheetView topLeftCell="A22" zoomScale="85" zoomScaleNormal="85" workbookViewId="0">
      <selection activeCell="A2" sqref="A2:O45"/>
    </sheetView>
  </sheetViews>
  <sheetFormatPr defaultColWidth="9" defaultRowHeight="16.5"/>
  <cols>
    <col min="1" max="1" width="9" style="19"/>
    <col min="2" max="2" width="8.875" style="19" customWidth="1"/>
    <col min="3" max="3" width="9.125" style="19" customWidth="1"/>
    <col min="4" max="13" width="15.625" style="19" customWidth="1"/>
    <col min="14" max="16384" width="9" style="19"/>
  </cols>
  <sheetData>
    <row r="2" spans="2:42" ht="31.5" customHeight="1">
      <c r="B2" s="29" t="s">
        <v>105</v>
      </c>
    </row>
    <row r="3" spans="2:42" ht="20.25">
      <c r="B3" s="20" t="s">
        <v>56</v>
      </c>
    </row>
    <row r="4" spans="2:42" ht="20.25">
      <c r="B4" s="20" t="s">
        <v>123</v>
      </c>
    </row>
    <row r="6" spans="2:42" ht="17.25" customHeight="1">
      <c r="B6" s="135" t="s">
        <v>3</v>
      </c>
      <c r="C6" s="135"/>
      <c r="D6" s="145" t="s">
        <v>106</v>
      </c>
      <c r="E6" s="146"/>
      <c r="F6" s="146"/>
      <c r="G6" s="146"/>
      <c r="H6" s="147"/>
      <c r="I6" s="189" t="s">
        <v>107</v>
      </c>
      <c r="J6" s="189"/>
      <c r="K6" s="189"/>
      <c r="L6" s="189"/>
      <c r="M6" s="189"/>
    </row>
    <row r="7" spans="2:42" ht="13.9" customHeight="1">
      <c r="B7" s="135"/>
      <c r="C7" s="135"/>
      <c r="D7" s="136" t="s">
        <v>108</v>
      </c>
      <c r="E7" s="136" t="s">
        <v>109</v>
      </c>
      <c r="F7" s="136" t="s">
        <v>7</v>
      </c>
      <c r="G7" s="135" t="s">
        <v>8</v>
      </c>
      <c r="H7" s="135" t="s">
        <v>110</v>
      </c>
      <c r="I7" s="136" t="s">
        <v>111</v>
      </c>
      <c r="J7" s="136" t="s">
        <v>112</v>
      </c>
      <c r="K7" s="136" t="s">
        <v>113</v>
      </c>
      <c r="L7" s="136" t="s">
        <v>114</v>
      </c>
      <c r="M7" s="136" t="s">
        <v>115</v>
      </c>
    </row>
    <row r="8" spans="2:42" ht="16.149999999999999" customHeight="1">
      <c r="B8" s="135"/>
      <c r="C8" s="135"/>
      <c r="D8" s="136"/>
      <c r="E8" s="136"/>
      <c r="F8" s="136"/>
      <c r="G8" s="136"/>
      <c r="H8" s="136"/>
      <c r="I8" s="136"/>
      <c r="J8" s="136"/>
      <c r="K8" s="136"/>
      <c r="L8" s="136"/>
      <c r="M8" s="136"/>
    </row>
    <row r="9" spans="2:42" ht="24" customHeight="1">
      <c r="B9" s="190" t="s">
        <v>116</v>
      </c>
      <c r="C9" s="191"/>
      <c r="D9" s="22"/>
      <c r="E9" s="22"/>
      <c r="F9" s="22">
        <v>3124.862100616876</v>
      </c>
      <c r="G9" s="22">
        <v>3398.2947729483021</v>
      </c>
      <c r="H9" s="22">
        <v>3681.8007083333332</v>
      </c>
      <c r="I9" s="22">
        <v>3593.2233455882351</v>
      </c>
      <c r="J9" s="22">
        <v>3366.8264746227715</v>
      </c>
      <c r="K9" s="22">
        <v>3716.335875921689</v>
      </c>
      <c r="L9" s="22">
        <v>3379.6645815957745</v>
      </c>
      <c r="M9" s="22">
        <v>3420.45548465512</v>
      </c>
    </row>
    <row r="10" spans="2:42" ht="24" customHeight="1">
      <c r="B10" s="190" t="s">
        <v>117</v>
      </c>
      <c r="C10" s="191"/>
      <c r="D10" s="22">
        <v>1124.7240782873832</v>
      </c>
      <c r="E10" s="22">
        <v>1064.1316365184171</v>
      </c>
      <c r="F10" s="22">
        <v>1079.7334860480178</v>
      </c>
      <c r="G10" s="22">
        <v>1187.3486554068854</v>
      </c>
      <c r="H10" s="22">
        <v>1276.4495800604232</v>
      </c>
      <c r="I10" s="22">
        <v>1206.8513876483971</v>
      </c>
      <c r="J10" s="22">
        <v>1202.7865709360758</v>
      </c>
      <c r="K10" s="22">
        <v>1235.0595248986065</v>
      </c>
      <c r="L10" s="22">
        <v>1280.5422069626316</v>
      </c>
      <c r="M10" s="22">
        <v>1266.3399750266203</v>
      </c>
    </row>
    <row r="11" spans="2:42" ht="24" customHeight="1">
      <c r="B11" s="190" t="s">
        <v>118</v>
      </c>
      <c r="C11" s="191"/>
      <c r="D11" s="22">
        <v>1502.8030565287602</v>
      </c>
      <c r="E11" s="22">
        <v>1459.2159911148617</v>
      </c>
      <c r="F11" s="22">
        <v>1371.7195981889026</v>
      </c>
      <c r="G11" s="22">
        <v>1318.3748962258467</v>
      </c>
      <c r="H11" s="22">
        <v>1512.9579638157893</v>
      </c>
      <c r="I11" s="22">
        <v>1387.2169881577222</v>
      </c>
      <c r="J11" s="22">
        <v>1374.6677136409958</v>
      </c>
      <c r="K11" s="22">
        <v>1206.6428794203373</v>
      </c>
      <c r="L11" s="22">
        <v>1375.0328794498155</v>
      </c>
      <c r="M11" s="22">
        <v>1405.7356933721867</v>
      </c>
    </row>
    <row r="12" spans="2:42" ht="24" customHeight="1">
      <c r="B12" s="190" t="s">
        <v>119</v>
      </c>
      <c r="C12" s="191"/>
      <c r="D12" s="22">
        <v>1914.5011515406934</v>
      </c>
      <c r="E12" s="22">
        <v>1890.2712184019888</v>
      </c>
      <c r="F12" s="22">
        <v>1774.7197422503139</v>
      </c>
      <c r="G12" s="22">
        <v>1886.8220587373928</v>
      </c>
      <c r="H12" s="22">
        <v>1925.5613660493343</v>
      </c>
      <c r="I12" s="22">
        <v>1827.0990919026476</v>
      </c>
      <c r="J12" s="22">
        <v>1846.4923926780687</v>
      </c>
      <c r="K12" s="22">
        <v>1827.5918204611655</v>
      </c>
      <c r="L12" s="22">
        <v>1898.3939925327954</v>
      </c>
      <c r="M12" s="22">
        <v>2037.0424970155004</v>
      </c>
      <c r="AN12" s="19">
        <v>770</v>
      </c>
      <c r="AO12" s="19">
        <v>756</v>
      </c>
      <c r="AP12" s="19">
        <v>764</v>
      </c>
    </row>
    <row r="13" spans="2:42" ht="24" customHeight="1">
      <c r="B13" s="190" t="s">
        <v>120</v>
      </c>
      <c r="C13" s="191"/>
      <c r="D13" s="22">
        <v>1241.4330874112134</v>
      </c>
      <c r="E13" s="22">
        <v>1237.3201046083116</v>
      </c>
      <c r="F13" s="22">
        <v>1143.2458652271016</v>
      </c>
      <c r="G13" s="22">
        <v>1077.3854348905625</v>
      </c>
      <c r="H13" s="22">
        <v>1336.1483245732475</v>
      </c>
      <c r="I13" s="22">
        <v>1168.8180724639365</v>
      </c>
      <c r="J13" s="22">
        <v>1181.3083086993875</v>
      </c>
      <c r="K13" s="22">
        <v>1132.2664051104257</v>
      </c>
      <c r="L13" s="22">
        <v>1204.6603325356248</v>
      </c>
      <c r="M13" s="22">
        <v>1312.6957322025401</v>
      </c>
    </row>
    <row r="14" spans="2:42" ht="24" customHeight="1">
      <c r="B14" s="159" t="s">
        <v>121</v>
      </c>
      <c r="C14" s="160"/>
      <c r="D14" s="32">
        <v>1491.1112151792117</v>
      </c>
      <c r="E14" s="32">
        <v>1501.387065534765</v>
      </c>
      <c r="F14" s="32">
        <v>1394.7256980867924</v>
      </c>
      <c r="G14" s="32">
        <v>1420.2664246278919</v>
      </c>
      <c r="H14" s="32">
        <v>1581.0515536081436</v>
      </c>
      <c r="I14" s="32">
        <v>1475.0264071110644</v>
      </c>
      <c r="J14" s="32">
        <v>1446.2860067919944</v>
      </c>
      <c r="K14" s="32">
        <v>1408.5199059519325</v>
      </c>
      <c r="L14" s="32">
        <v>1460.7704248065811</v>
      </c>
      <c r="M14" s="32">
        <v>1582.7021086907189</v>
      </c>
    </row>
    <row r="22" spans="2:13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2:13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2:13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2:13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2:13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2:13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2:1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2:1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2:1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2:1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2:1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4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</row>
    <row r="34" spans="1:14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spans="1:14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4">
      <c r="A36" s="2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25"/>
    </row>
    <row r="37" spans="1:14">
      <c r="A37" s="26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25"/>
    </row>
    <row r="38" spans="1:14">
      <c r="A38" s="26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25"/>
    </row>
    <row r="39" spans="1:14" s="21" customFormat="1">
      <c r="A39" s="26"/>
      <c r="B39" s="26"/>
      <c r="C39" s="26" t="s">
        <v>92</v>
      </c>
      <c r="D39" s="26" t="s">
        <v>93</v>
      </c>
      <c r="E39" s="26" t="s">
        <v>122</v>
      </c>
      <c r="F39" s="26" t="s">
        <v>94</v>
      </c>
      <c r="G39" s="26" t="s">
        <v>95</v>
      </c>
      <c r="H39" s="26" t="s">
        <v>96</v>
      </c>
      <c r="I39" s="26" t="s">
        <v>97</v>
      </c>
      <c r="J39" s="26" t="s">
        <v>0</v>
      </c>
      <c r="K39" s="26" t="s">
        <v>2</v>
      </c>
      <c r="L39" s="26" t="s">
        <v>89</v>
      </c>
      <c r="M39" s="35"/>
      <c r="N39" s="26"/>
    </row>
    <row r="40" spans="1:14" s="21" customFormat="1">
      <c r="A40" s="26"/>
      <c r="B40" s="26" t="s">
        <v>98</v>
      </c>
      <c r="C40" s="27">
        <v>530.65362579963039</v>
      </c>
      <c r="D40" s="27">
        <v>634.35808998034781</v>
      </c>
      <c r="E40" s="27">
        <v>618.49910071700572</v>
      </c>
      <c r="F40" s="27">
        <v>527.32285961719106</v>
      </c>
      <c r="G40" s="27">
        <v>479.13389025287887</v>
      </c>
      <c r="H40" s="27">
        <v>482.63295980323124</v>
      </c>
      <c r="I40" s="27">
        <v>476.97126041180371</v>
      </c>
      <c r="J40" s="27">
        <v>472.82262082151738</v>
      </c>
      <c r="K40" s="27">
        <v>489.05511168147916</v>
      </c>
      <c r="L40" s="27">
        <v>512.70185865092481</v>
      </c>
      <c r="M40" s="35"/>
      <c r="N40" s="26"/>
    </row>
    <row r="41" spans="1:14" s="21" customFormat="1">
      <c r="A41" s="26"/>
      <c r="B41" s="26" t="s">
        <v>100</v>
      </c>
      <c r="C41" s="27">
        <v>1491.1112151792117</v>
      </c>
      <c r="D41" s="27">
        <v>1501.387065534765</v>
      </c>
      <c r="E41" s="27">
        <v>1394.7256980867924</v>
      </c>
      <c r="F41" s="27">
        <v>1420.2664246278919</v>
      </c>
      <c r="G41" s="27">
        <v>1581.0515536081436</v>
      </c>
      <c r="H41" s="27">
        <v>1475.0264071110644</v>
      </c>
      <c r="I41" s="27">
        <v>1446.2860067919944</v>
      </c>
      <c r="J41" s="27">
        <v>1408.5199059519325</v>
      </c>
      <c r="K41" s="27">
        <v>1460.7704248065811</v>
      </c>
      <c r="L41" s="27">
        <v>1582.7021086907189</v>
      </c>
      <c r="M41" s="35"/>
      <c r="N41" s="26"/>
    </row>
    <row r="42" spans="1:14" s="21" customFormat="1">
      <c r="A42" s="26"/>
      <c r="B42" s="26" t="s">
        <v>99</v>
      </c>
      <c r="C42" s="27">
        <v>2021.7648409788421</v>
      </c>
      <c r="D42" s="27">
        <v>2135.7451555151129</v>
      </c>
      <c r="E42" s="27">
        <v>2013.2247988037982</v>
      </c>
      <c r="F42" s="27">
        <v>1947.5892842450833</v>
      </c>
      <c r="G42" s="27">
        <v>2060.1854438610226</v>
      </c>
      <c r="H42" s="27">
        <v>1957.6593669142956</v>
      </c>
      <c r="I42" s="27">
        <v>1923.2572672037982</v>
      </c>
      <c r="J42" s="27">
        <v>1881.3425267734499</v>
      </c>
      <c r="K42" s="27">
        <v>1949.8255364880602</v>
      </c>
      <c r="L42" s="27">
        <v>2095.4039673416437</v>
      </c>
      <c r="M42" s="35"/>
      <c r="N42" s="26"/>
    </row>
    <row r="43" spans="1:14" s="21" customForma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35"/>
      <c r="N43" s="26"/>
    </row>
    <row r="44" spans="1:14">
      <c r="A44" s="26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25"/>
    </row>
    <row r="45" spans="1:14">
      <c r="A45" s="2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25"/>
    </row>
    <row r="46" spans="1:14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4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2:13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</sheetData>
  <mergeCells count="19">
    <mergeCell ref="M7:M8"/>
    <mergeCell ref="B9:C9"/>
    <mergeCell ref="B10:C10"/>
    <mergeCell ref="B11:C11"/>
    <mergeCell ref="B6:C8"/>
    <mergeCell ref="D6:H6"/>
    <mergeCell ref="I6:M6"/>
    <mergeCell ref="D7:D8"/>
    <mergeCell ref="E7:E8"/>
    <mergeCell ref="F7:F8"/>
    <mergeCell ref="G7:G8"/>
    <mergeCell ref="H7:H8"/>
    <mergeCell ref="I7:I8"/>
    <mergeCell ref="J7:J8"/>
    <mergeCell ref="B12:C12"/>
    <mergeCell ref="B13:C13"/>
    <mergeCell ref="B14:C14"/>
    <mergeCell ref="K7:K8"/>
    <mergeCell ref="L7:L8"/>
  </mergeCells>
  <phoneticPr fontId="3" type="noConversion"/>
  <pageMargins left="0.7" right="0.7" top="0.75" bottom="0.75" header="0.3" footer="0.3"/>
  <customProperties>
    <customPr name="_pios_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P48"/>
  <sheetViews>
    <sheetView topLeftCell="Q4" zoomScale="85" zoomScaleNormal="85" workbookViewId="0">
      <selection activeCell="V13" sqref="V13"/>
    </sheetView>
  </sheetViews>
  <sheetFormatPr defaultColWidth="9" defaultRowHeight="16.5"/>
  <cols>
    <col min="1" max="1" width="9" style="19"/>
    <col min="2" max="2" width="8.875" style="19" customWidth="1"/>
    <col min="3" max="3" width="9.125" style="19" customWidth="1"/>
    <col min="4" max="13" width="15.625" style="19" customWidth="1"/>
    <col min="14" max="16384" width="9" style="19"/>
  </cols>
  <sheetData>
    <row r="2" spans="2:42" ht="31.5" customHeight="1">
      <c r="B2" s="29" t="s">
        <v>105</v>
      </c>
    </row>
    <row r="3" spans="2:42" ht="20.25">
      <c r="B3" s="20" t="s">
        <v>124</v>
      </c>
    </row>
    <row r="4" spans="2:42" ht="20.25">
      <c r="B4" s="20" t="s">
        <v>123</v>
      </c>
    </row>
    <row r="6" spans="2:42" ht="17.25" customHeight="1">
      <c r="B6" s="135" t="s">
        <v>3</v>
      </c>
      <c r="C6" s="135"/>
      <c r="D6" s="145" t="s">
        <v>25</v>
      </c>
      <c r="E6" s="146"/>
      <c r="F6" s="146"/>
      <c r="G6" s="146"/>
      <c r="H6" s="147"/>
      <c r="I6" s="189" t="s">
        <v>4</v>
      </c>
      <c r="J6" s="189"/>
      <c r="K6" s="189"/>
      <c r="L6" s="189"/>
      <c r="M6" s="189"/>
    </row>
    <row r="7" spans="2:42" ht="13.9" customHeight="1">
      <c r="B7" s="135"/>
      <c r="C7" s="135"/>
      <c r="D7" s="136" t="s">
        <v>5</v>
      </c>
      <c r="E7" s="136" t="s">
        <v>6</v>
      </c>
      <c r="F7" s="136" t="s">
        <v>7</v>
      </c>
      <c r="G7" s="135" t="s">
        <v>8</v>
      </c>
      <c r="H7" s="135" t="s">
        <v>9</v>
      </c>
      <c r="I7" s="136" t="s">
        <v>10</v>
      </c>
      <c r="J7" s="136" t="s">
        <v>11</v>
      </c>
      <c r="K7" s="136" t="s">
        <v>13</v>
      </c>
      <c r="L7" s="136" t="s">
        <v>16</v>
      </c>
      <c r="M7" s="136" t="s">
        <v>90</v>
      </c>
    </row>
    <row r="8" spans="2:42" ht="16.149999999999999" customHeight="1">
      <c r="B8" s="135"/>
      <c r="C8" s="135"/>
      <c r="D8" s="136"/>
      <c r="E8" s="136"/>
      <c r="F8" s="136"/>
      <c r="G8" s="136"/>
      <c r="H8" s="136"/>
      <c r="I8" s="136"/>
      <c r="J8" s="136"/>
      <c r="K8" s="136"/>
      <c r="L8" s="136"/>
      <c r="M8" s="136"/>
    </row>
    <row r="9" spans="2:42" ht="24" customHeight="1">
      <c r="B9" s="190" t="s">
        <v>116</v>
      </c>
      <c r="C9" s="191"/>
      <c r="D9" s="31"/>
      <c r="E9" s="22"/>
      <c r="F9" s="22"/>
      <c r="G9" s="22">
        <v>3569.0818086627914</v>
      </c>
      <c r="H9" s="22"/>
      <c r="I9" s="22"/>
      <c r="J9" s="22">
        <v>3503.5021834061135</v>
      </c>
      <c r="K9" s="22">
        <v>3006.4126637554582</v>
      </c>
      <c r="L9" s="22">
        <v>3635.2065009560229</v>
      </c>
      <c r="M9" s="22"/>
    </row>
    <row r="10" spans="2:42" ht="24" customHeight="1">
      <c r="B10" s="190" t="s">
        <v>118</v>
      </c>
      <c r="C10" s="191"/>
      <c r="D10" s="22">
        <v>1292.0567244905985</v>
      </c>
      <c r="E10" s="22">
        <v>1338.3385766135584</v>
      </c>
      <c r="F10" s="22">
        <v>1220.7710763466985</v>
      </c>
      <c r="G10" s="22">
        <v>1217.0482778652167</v>
      </c>
      <c r="H10" s="22">
        <v>1361.8329138461538</v>
      </c>
      <c r="I10" s="22">
        <v>967.293617993824</v>
      </c>
      <c r="J10" s="22">
        <v>933.90517014572924</v>
      </c>
      <c r="K10" s="22">
        <v>1112.3202161782021</v>
      </c>
      <c r="L10" s="22">
        <v>1059.8003703402442</v>
      </c>
      <c r="M10" s="22">
        <v>1134.0695540422626</v>
      </c>
    </row>
    <row r="11" spans="2:42" ht="24" customHeight="1">
      <c r="B11" s="190" t="s">
        <v>125</v>
      </c>
      <c r="C11" s="191"/>
      <c r="D11" s="15">
        <v>1056.3486485136759</v>
      </c>
      <c r="E11" s="15">
        <v>1038.9385088393642</v>
      </c>
      <c r="F11" s="15">
        <v>1308.2863695959372</v>
      </c>
      <c r="G11" s="15">
        <v>1442.2046842002746</v>
      </c>
      <c r="H11" s="15">
        <v>1747.4166975211365</v>
      </c>
      <c r="I11" s="15">
        <v>1393.7072601767265</v>
      </c>
      <c r="J11" s="15">
        <v>1408.2677685621279</v>
      </c>
      <c r="K11" s="15">
        <v>1160.3439198166516</v>
      </c>
      <c r="L11" s="15">
        <v>1130.3280114437387</v>
      </c>
      <c r="M11" s="15">
        <v>1265.4943482152767</v>
      </c>
    </row>
    <row r="12" spans="2:42" ht="24" customHeight="1">
      <c r="B12" s="190" t="s">
        <v>126</v>
      </c>
      <c r="C12" s="191"/>
      <c r="D12" s="15">
        <v>1128.1217245298037</v>
      </c>
      <c r="E12" s="15">
        <v>1201.872468381561</v>
      </c>
      <c r="F12" s="15">
        <v>1038.2029613344414</v>
      </c>
      <c r="G12" s="15">
        <v>987.00696657634592</v>
      </c>
      <c r="H12" s="15">
        <v>1057.4903317664741</v>
      </c>
      <c r="I12" s="15">
        <v>997.38734013769249</v>
      </c>
      <c r="J12" s="15">
        <v>944.67181572505854</v>
      </c>
      <c r="K12" s="15">
        <v>1017.9639355670632</v>
      </c>
      <c r="L12" s="15">
        <v>1010.6421891121954</v>
      </c>
      <c r="M12" s="15">
        <v>1014.0703016003694</v>
      </c>
      <c r="AN12" s="19">
        <v>770</v>
      </c>
      <c r="AO12" s="19">
        <v>756</v>
      </c>
      <c r="AP12" s="19">
        <v>764</v>
      </c>
    </row>
    <row r="13" spans="2:42" ht="24" customHeight="1">
      <c r="B13" s="159" t="s">
        <v>23</v>
      </c>
      <c r="C13" s="160"/>
      <c r="D13" s="32">
        <v>1095.9303805031448</v>
      </c>
      <c r="E13" s="32">
        <v>1155.5364168652814</v>
      </c>
      <c r="F13" s="32">
        <v>1167.0578371352217</v>
      </c>
      <c r="G13" s="32">
        <v>1129.3628392714529</v>
      </c>
      <c r="H13" s="32">
        <v>1329.0039105560741</v>
      </c>
      <c r="I13" s="32">
        <v>1050.9225128695143</v>
      </c>
      <c r="J13" s="32">
        <v>979.28040968164669</v>
      </c>
      <c r="K13" s="32">
        <v>1081.4926563758838</v>
      </c>
      <c r="L13" s="32">
        <v>1049.948260679409</v>
      </c>
      <c r="M13" s="32">
        <v>1109.3349751051078</v>
      </c>
    </row>
    <row r="21" spans="2:13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2:13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2:13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2:13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2:13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2:13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2:13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2:1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2:1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2:1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2:1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2:1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4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25"/>
    </row>
    <row r="36" spans="1:14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25"/>
    </row>
    <row r="37" spans="1:14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5"/>
    </row>
    <row r="38" spans="1:14" s="21" customFormat="1">
      <c r="A38" s="26"/>
      <c r="B38" s="26"/>
      <c r="C38" s="26" t="s">
        <v>92</v>
      </c>
      <c r="D38" s="26" t="s">
        <v>93</v>
      </c>
      <c r="E38" s="26" t="s">
        <v>122</v>
      </c>
      <c r="F38" s="26" t="s">
        <v>94</v>
      </c>
      <c r="G38" s="26" t="s">
        <v>95</v>
      </c>
      <c r="H38" s="26" t="s">
        <v>96</v>
      </c>
      <c r="I38" s="26" t="s">
        <v>97</v>
      </c>
      <c r="J38" s="26" t="s">
        <v>0</v>
      </c>
      <c r="K38" s="26" t="s">
        <v>2</v>
      </c>
      <c r="L38" s="26" t="s">
        <v>89</v>
      </c>
      <c r="M38" s="27"/>
      <c r="N38" s="26"/>
    </row>
    <row r="39" spans="1:14" s="21" customFormat="1">
      <c r="A39" s="26"/>
      <c r="B39" s="26" t="s">
        <v>98</v>
      </c>
      <c r="C39" s="27">
        <v>519.07703804789844</v>
      </c>
      <c r="D39" s="27">
        <v>623.35653583655733</v>
      </c>
      <c r="E39" s="27">
        <v>664.39370984620291</v>
      </c>
      <c r="F39" s="27">
        <v>561.17209415850482</v>
      </c>
      <c r="G39" s="27">
        <v>475.58045224174799</v>
      </c>
      <c r="H39" s="27">
        <v>497.36188862686168</v>
      </c>
      <c r="I39" s="27">
        <v>479.40866120882487</v>
      </c>
      <c r="J39" s="27">
        <v>486.23778610954622</v>
      </c>
      <c r="K39" s="27">
        <v>496.9683145559967</v>
      </c>
      <c r="L39" s="27">
        <v>521.67223050461098</v>
      </c>
      <c r="M39" s="27"/>
      <c r="N39" s="26"/>
    </row>
    <row r="40" spans="1:14" s="21" customFormat="1">
      <c r="A40" s="26"/>
      <c r="B40" s="26" t="s">
        <v>100</v>
      </c>
      <c r="C40" s="27">
        <v>1095.9303805031448</v>
      </c>
      <c r="D40" s="27">
        <v>1155.5364168652814</v>
      </c>
      <c r="E40" s="27">
        <v>1167.0578371352217</v>
      </c>
      <c r="F40" s="27">
        <v>1129.3628392714529</v>
      </c>
      <c r="G40" s="27">
        <v>1329.0039105560738</v>
      </c>
      <c r="H40" s="27">
        <v>1050.9225128695143</v>
      </c>
      <c r="I40" s="27">
        <v>979.28040968164669</v>
      </c>
      <c r="J40" s="27">
        <v>1081.4926563758838</v>
      </c>
      <c r="K40" s="27">
        <v>1049.948260679409</v>
      </c>
      <c r="L40" s="27">
        <v>1109.3349751051078</v>
      </c>
      <c r="M40" s="27"/>
      <c r="N40" s="26"/>
    </row>
    <row r="41" spans="1:14" s="21" customFormat="1">
      <c r="A41" s="26"/>
      <c r="B41" s="26" t="s">
        <v>99</v>
      </c>
      <c r="C41" s="27">
        <v>1615.0074185510432</v>
      </c>
      <c r="D41" s="27">
        <v>1778.8929527018386</v>
      </c>
      <c r="E41" s="27">
        <v>1831.4515469814246</v>
      </c>
      <c r="F41" s="27">
        <v>1690.5349334299578</v>
      </c>
      <c r="G41" s="27">
        <v>1804.5843627978218</v>
      </c>
      <c r="H41" s="27">
        <v>1548.2844014963759</v>
      </c>
      <c r="I41" s="27">
        <v>1458.6890708904716</v>
      </c>
      <c r="J41" s="27">
        <v>1567.7304424854301</v>
      </c>
      <c r="K41" s="27">
        <v>1546.9165752354056</v>
      </c>
      <c r="L41" s="27">
        <v>1631.0072056097188</v>
      </c>
      <c r="M41" s="27"/>
      <c r="N41" s="26"/>
    </row>
    <row r="42" spans="1:14" s="21" customForma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6"/>
    </row>
    <row r="43" spans="1:14">
      <c r="A43" s="3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5"/>
    </row>
    <row r="44" spans="1:14">
      <c r="A44" s="3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5"/>
    </row>
    <row r="45" spans="1:14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4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4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4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</sheetData>
  <mergeCells count="18">
    <mergeCell ref="L7:L8"/>
    <mergeCell ref="M7:M8"/>
    <mergeCell ref="B9:C9"/>
    <mergeCell ref="B10:C10"/>
    <mergeCell ref="B11:C11"/>
    <mergeCell ref="B6:C8"/>
    <mergeCell ref="D6:H6"/>
    <mergeCell ref="I6:M6"/>
    <mergeCell ref="D7:D8"/>
    <mergeCell ref="E7:E8"/>
    <mergeCell ref="F7:F8"/>
    <mergeCell ref="G7:G8"/>
    <mergeCell ref="H7:H8"/>
    <mergeCell ref="I7:I8"/>
    <mergeCell ref="J7:J8"/>
    <mergeCell ref="B12:C12"/>
    <mergeCell ref="B13:C13"/>
    <mergeCell ref="K7:K8"/>
  </mergeCells>
  <phoneticPr fontId="3" type="noConversion"/>
  <pageMargins left="0.7" right="0.7" top="0.75" bottom="0.75" header="0.3" footer="0.3"/>
  <customProperties>
    <customPr name="_pios_id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P74"/>
  <sheetViews>
    <sheetView topLeftCell="A38" zoomScale="80" zoomScaleNormal="80" workbookViewId="0">
      <selection sqref="A1:P74"/>
    </sheetView>
  </sheetViews>
  <sheetFormatPr defaultColWidth="9" defaultRowHeight="16.5"/>
  <cols>
    <col min="1" max="1" width="9" style="19"/>
    <col min="2" max="2" width="8.875" style="19" customWidth="1"/>
    <col min="3" max="3" width="9.125" style="19" customWidth="1"/>
    <col min="4" max="15" width="15.625" style="19" customWidth="1"/>
    <col min="16" max="16384" width="9" style="19"/>
  </cols>
  <sheetData>
    <row r="2" spans="2:42" ht="31.5" customHeight="1">
      <c r="B2" s="29" t="s">
        <v>105</v>
      </c>
    </row>
    <row r="3" spans="2:42" ht="20.25">
      <c r="B3" s="20" t="s">
        <v>56</v>
      </c>
    </row>
    <row r="4" spans="2:42" ht="20.25">
      <c r="B4" s="20" t="s">
        <v>132</v>
      </c>
    </row>
    <row r="6" spans="2:42" ht="17.25" customHeight="1">
      <c r="B6" s="135" t="s">
        <v>3</v>
      </c>
      <c r="C6" s="135"/>
      <c r="D6" s="145" t="s">
        <v>25</v>
      </c>
      <c r="E6" s="146"/>
      <c r="F6" s="146"/>
      <c r="G6" s="146"/>
      <c r="H6" s="147"/>
      <c r="I6" s="189" t="s">
        <v>4</v>
      </c>
      <c r="J6" s="189"/>
      <c r="K6" s="189"/>
      <c r="L6" s="189"/>
      <c r="M6" s="189"/>
      <c r="N6" s="189"/>
      <c r="O6" s="189"/>
    </row>
    <row r="7" spans="2:42" ht="13.9" customHeight="1">
      <c r="B7" s="135"/>
      <c r="C7" s="135"/>
      <c r="D7" s="136" t="s">
        <v>5</v>
      </c>
      <c r="E7" s="136" t="s">
        <v>6</v>
      </c>
      <c r="F7" s="136" t="s">
        <v>7</v>
      </c>
      <c r="G7" s="135" t="s">
        <v>8</v>
      </c>
      <c r="H7" s="135" t="s">
        <v>9</v>
      </c>
      <c r="I7" s="136" t="s">
        <v>14</v>
      </c>
      <c r="J7" s="136" t="s">
        <v>15</v>
      </c>
      <c r="K7" s="136" t="s">
        <v>13</v>
      </c>
      <c r="L7" s="136" t="s">
        <v>87</v>
      </c>
      <c r="M7" s="136" t="s">
        <v>90</v>
      </c>
      <c r="N7" s="136" t="s">
        <v>130</v>
      </c>
      <c r="O7" s="136" t="s">
        <v>131</v>
      </c>
    </row>
    <row r="8" spans="2:42" ht="16.149999999999999" customHeight="1">
      <c r="B8" s="135"/>
      <c r="C8" s="135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</row>
    <row r="9" spans="2:42" ht="24" customHeight="1">
      <c r="B9" s="190" t="s">
        <v>116</v>
      </c>
      <c r="C9" s="191"/>
      <c r="D9" s="22"/>
      <c r="E9" s="22"/>
      <c r="F9" s="22">
        <v>3124.862100616876</v>
      </c>
      <c r="G9" s="22">
        <v>3398.2947729483021</v>
      </c>
      <c r="H9" s="22">
        <v>3681.8007083333332</v>
      </c>
      <c r="I9" s="22">
        <v>3593.2233455882351</v>
      </c>
      <c r="J9" s="22">
        <v>3366.8264746227715</v>
      </c>
      <c r="K9" s="22">
        <v>3716.335875921689</v>
      </c>
      <c r="L9" s="22">
        <v>3379.6645815957745</v>
      </c>
      <c r="M9" s="22">
        <v>3420.45548465512</v>
      </c>
      <c r="N9" s="22">
        <v>3267.8229951690828</v>
      </c>
      <c r="O9" s="22">
        <v>2975.9696090940724</v>
      </c>
    </row>
    <row r="10" spans="2:42" ht="24" customHeight="1">
      <c r="B10" s="190" t="s">
        <v>117</v>
      </c>
      <c r="C10" s="191"/>
      <c r="D10" s="22">
        <v>1124.7240782873832</v>
      </c>
      <c r="E10" s="22">
        <v>1064.1316365184171</v>
      </c>
      <c r="F10" s="22">
        <v>1079.7334860480178</v>
      </c>
      <c r="G10" s="22">
        <v>1187.3486554068854</v>
      </c>
      <c r="H10" s="22">
        <v>1276.4495800604232</v>
      </c>
      <c r="I10" s="22">
        <v>1206.8513876483971</v>
      </c>
      <c r="J10" s="22">
        <v>1202.7865709360758</v>
      </c>
      <c r="K10" s="22">
        <v>1235.0595248986065</v>
      </c>
      <c r="L10" s="22">
        <v>1280.5422069626316</v>
      </c>
      <c r="M10" s="22">
        <v>1266.3399750266203</v>
      </c>
      <c r="N10" s="22">
        <v>1219.5467225923742</v>
      </c>
      <c r="O10" s="22">
        <v>1136.113190531298</v>
      </c>
    </row>
    <row r="11" spans="2:42" ht="24" customHeight="1">
      <c r="B11" s="190" t="s">
        <v>118</v>
      </c>
      <c r="C11" s="191"/>
      <c r="D11" s="22">
        <v>1502.8030565287602</v>
      </c>
      <c r="E11" s="22">
        <v>1459.2159911148617</v>
      </c>
      <c r="F11" s="22">
        <v>1371.7195981889026</v>
      </c>
      <c r="G11" s="22">
        <v>1318.3748962258467</v>
      </c>
      <c r="H11" s="22">
        <v>1512.9579638157893</v>
      </c>
      <c r="I11" s="22">
        <v>1387.2169881577222</v>
      </c>
      <c r="J11" s="22">
        <v>1374.6677136409958</v>
      </c>
      <c r="K11" s="22">
        <v>1206.6428794203373</v>
      </c>
      <c r="L11" s="22">
        <v>1375.0328794498155</v>
      </c>
      <c r="M11" s="22">
        <v>1405.7356933721867</v>
      </c>
      <c r="N11" s="22">
        <v>1332.2620900388015</v>
      </c>
      <c r="O11" s="22">
        <v>1218.7853020066418</v>
      </c>
    </row>
    <row r="12" spans="2:42" ht="24" customHeight="1">
      <c r="B12" s="190" t="s">
        <v>119</v>
      </c>
      <c r="C12" s="191"/>
      <c r="D12" s="22">
        <v>1914.5011515406934</v>
      </c>
      <c r="E12" s="22">
        <v>1890.2712184019888</v>
      </c>
      <c r="F12" s="22">
        <v>1774.7197422503139</v>
      </c>
      <c r="G12" s="22">
        <v>1886.8220587373928</v>
      </c>
      <c r="H12" s="22">
        <v>1925.5613660493343</v>
      </c>
      <c r="I12" s="22">
        <v>1827.0990919026476</v>
      </c>
      <c r="J12" s="22">
        <v>1846.4923926780687</v>
      </c>
      <c r="K12" s="22">
        <v>1827.5918204611655</v>
      </c>
      <c r="L12" s="22">
        <v>1898.3939925327954</v>
      </c>
      <c r="M12" s="22">
        <v>2037.0424970155004</v>
      </c>
      <c r="N12" s="22">
        <v>2166.9255946050257</v>
      </c>
      <c r="O12" s="22">
        <v>2003.9735214927055</v>
      </c>
      <c r="AN12" s="19">
        <v>770</v>
      </c>
      <c r="AO12" s="19">
        <v>756</v>
      </c>
      <c r="AP12" s="19">
        <v>764</v>
      </c>
    </row>
    <row r="13" spans="2:42" ht="24" customHeight="1">
      <c r="B13" s="190" t="s">
        <v>120</v>
      </c>
      <c r="C13" s="191"/>
      <c r="D13" s="22">
        <v>1241.4330874112134</v>
      </c>
      <c r="E13" s="22">
        <v>1237.3201046083116</v>
      </c>
      <c r="F13" s="22">
        <v>1143.2458652271016</v>
      </c>
      <c r="G13" s="22">
        <v>1077.3854348905625</v>
      </c>
      <c r="H13" s="22">
        <v>1336.1483245732475</v>
      </c>
      <c r="I13" s="22">
        <v>1168.8180724639365</v>
      </c>
      <c r="J13" s="22">
        <v>1181.3083086993875</v>
      </c>
      <c r="K13" s="22">
        <v>1132.2664051104257</v>
      </c>
      <c r="L13" s="22">
        <v>1204.6603325356248</v>
      </c>
      <c r="M13" s="22">
        <v>1312.6957322025401</v>
      </c>
      <c r="N13" s="22">
        <v>1199.8324945757654</v>
      </c>
      <c r="O13" s="22">
        <v>1129.991642511118</v>
      </c>
    </row>
    <row r="14" spans="2:42" ht="24" customHeight="1">
      <c r="B14" s="159" t="s">
        <v>121</v>
      </c>
      <c r="C14" s="160"/>
      <c r="D14" s="32">
        <v>1491.1112151792117</v>
      </c>
      <c r="E14" s="32">
        <v>1501.387065534765</v>
      </c>
      <c r="F14" s="32">
        <v>1394.7256980867924</v>
      </c>
      <c r="G14" s="32">
        <v>1420.2664246278919</v>
      </c>
      <c r="H14" s="32">
        <v>1581.0515536081436</v>
      </c>
      <c r="I14" s="32">
        <v>1475.0264071110644</v>
      </c>
      <c r="J14" s="32">
        <v>1446.2860067919944</v>
      </c>
      <c r="K14" s="32">
        <v>1408.5199059519325</v>
      </c>
      <c r="L14" s="32">
        <v>1460.7704248065811</v>
      </c>
      <c r="M14" s="32">
        <v>1582.7021086907189</v>
      </c>
      <c r="N14" s="32">
        <v>1517.9628296732126</v>
      </c>
      <c r="O14" s="32">
        <v>1445.7212788027532</v>
      </c>
    </row>
    <row r="22" spans="2:13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2:13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2:13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2:13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2:13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2:13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2:1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2:1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2:1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2:1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2:1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5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</row>
    <row r="34" spans="1:15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spans="1:1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5">
      <c r="A36" s="2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25"/>
    </row>
    <row r="37" spans="1:15">
      <c r="A37" s="26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25"/>
    </row>
    <row r="39" spans="1:15" s="21" customFormat="1" ht="41.25">
      <c r="A39" s="19"/>
      <c r="B39" s="29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5" s="21" customFormat="1" ht="20.25">
      <c r="A40" s="19"/>
      <c r="B40" s="20" t="s">
        <v>124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5" s="21" customFormat="1" ht="20.25">
      <c r="A41" s="19"/>
      <c r="B41" s="20" t="s">
        <v>133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5" s="21" customForma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5" s="21" customFormat="1" ht="17.25">
      <c r="A43" s="19"/>
      <c r="B43" s="135" t="s">
        <v>3</v>
      </c>
      <c r="C43" s="135"/>
      <c r="D43" s="145" t="s">
        <v>25</v>
      </c>
      <c r="E43" s="146"/>
      <c r="F43" s="146"/>
      <c r="G43" s="146"/>
      <c r="H43" s="147"/>
      <c r="I43" s="189" t="s">
        <v>91</v>
      </c>
      <c r="J43" s="189"/>
      <c r="K43" s="189"/>
      <c r="L43" s="189"/>
      <c r="M43" s="189"/>
      <c r="N43" s="189"/>
      <c r="O43" s="189"/>
    </row>
    <row r="44" spans="1:15" ht="16.5" customHeight="1">
      <c r="B44" s="135"/>
      <c r="C44" s="135"/>
      <c r="D44" s="136" t="s">
        <v>5</v>
      </c>
      <c r="E44" s="136" t="s">
        <v>6</v>
      </c>
      <c r="F44" s="136" t="s">
        <v>7</v>
      </c>
      <c r="G44" s="135" t="s">
        <v>8</v>
      </c>
      <c r="H44" s="135" t="s">
        <v>9</v>
      </c>
      <c r="I44" s="136" t="s">
        <v>10</v>
      </c>
      <c r="J44" s="136" t="s">
        <v>11</v>
      </c>
      <c r="K44" s="136" t="s">
        <v>13</v>
      </c>
      <c r="L44" s="136" t="s">
        <v>16</v>
      </c>
      <c r="M44" s="139" t="s">
        <v>90</v>
      </c>
      <c r="N44" s="136" t="s">
        <v>130</v>
      </c>
      <c r="O44" s="136" t="s">
        <v>131</v>
      </c>
    </row>
    <row r="45" spans="1:15" ht="16.5" customHeight="1">
      <c r="B45" s="135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8"/>
      <c r="N45" s="136"/>
      <c r="O45" s="136"/>
    </row>
    <row r="46" spans="1:15" ht="26.25">
      <c r="B46" s="190" t="s">
        <v>116</v>
      </c>
      <c r="C46" s="191"/>
      <c r="D46" s="31"/>
      <c r="E46" s="22"/>
      <c r="F46" s="22"/>
      <c r="G46" s="22">
        <v>3569.0818086627914</v>
      </c>
      <c r="H46" s="22"/>
      <c r="I46" s="22"/>
      <c r="J46" s="22">
        <v>3503.5021834061135</v>
      </c>
      <c r="K46" s="22">
        <v>3006.4126637554582</v>
      </c>
      <c r="L46" s="22">
        <v>3635.2065009560229</v>
      </c>
      <c r="M46" s="22"/>
      <c r="N46" s="22"/>
      <c r="O46" s="22">
        <v>4654.5502079619728</v>
      </c>
    </row>
    <row r="47" spans="1:15" ht="26.25">
      <c r="B47" s="190" t="s">
        <v>118</v>
      </c>
      <c r="C47" s="191"/>
      <c r="D47" s="22">
        <v>1292.0567244905985</v>
      </c>
      <c r="E47" s="22">
        <v>1338.3385766135584</v>
      </c>
      <c r="F47" s="22">
        <v>1220.7710763466985</v>
      </c>
      <c r="G47" s="22">
        <v>1217.0482778652167</v>
      </c>
      <c r="H47" s="22">
        <v>1361.8329138461538</v>
      </c>
      <c r="I47" s="22">
        <v>967.293617993824</v>
      </c>
      <c r="J47" s="22">
        <v>933.90517014572924</v>
      </c>
      <c r="K47" s="22">
        <v>1112.3202161782021</v>
      </c>
      <c r="L47" s="22">
        <v>1059.8003703402442</v>
      </c>
      <c r="M47" s="22">
        <v>1134.0695540422626</v>
      </c>
      <c r="N47" s="22">
        <v>1221.750093886378</v>
      </c>
      <c r="O47" s="22">
        <v>925.09317837259175</v>
      </c>
    </row>
    <row r="48" spans="1:15" ht="26.25">
      <c r="B48" s="190" t="s">
        <v>119</v>
      </c>
      <c r="C48" s="191"/>
      <c r="D48" s="15">
        <v>1056.3486485136759</v>
      </c>
      <c r="E48" s="15">
        <v>1038.9385088393642</v>
      </c>
      <c r="F48" s="15">
        <v>1308.2863695959372</v>
      </c>
      <c r="G48" s="15">
        <v>1442.2046842002746</v>
      </c>
      <c r="H48" s="15">
        <v>1747.4166975211365</v>
      </c>
      <c r="I48" s="15">
        <v>1393.7072601767265</v>
      </c>
      <c r="J48" s="15">
        <v>1408.2677685621279</v>
      </c>
      <c r="K48" s="15">
        <v>1160.3439198166516</v>
      </c>
      <c r="L48" s="15">
        <v>1130.3280114437387</v>
      </c>
      <c r="M48" s="15">
        <v>1265.4943482152767</v>
      </c>
      <c r="N48" s="15">
        <v>1204.0425470026644</v>
      </c>
      <c r="O48" s="15">
        <v>830.78138926217525</v>
      </c>
    </row>
    <row r="49" spans="2:15" ht="26.25">
      <c r="B49" s="190" t="s">
        <v>120</v>
      </c>
      <c r="C49" s="191"/>
      <c r="D49" s="15">
        <v>1128.1217245298037</v>
      </c>
      <c r="E49" s="15">
        <v>1201.872468381561</v>
      </c>
      <c r="F49" s="15">
        <v>1038.2029613344414</v>
      </c>
      <c r="G49" s="15">
        <v>987.00696657634592</v>
      </c>
      <c r="H49" s="15">
        <v>1057.4903317664741</v>
      </c>
      <c r="I49" s="15">
        <v>997.38734013769249</v>
      </c>
      <c r="J49" s="15">
        <v>944.67181572505854</v>
      </c>
      <c r="K49" s="15">
        <v>1017.9639355670632</v>
      </c>
      <c r="L49" s="15">
        <v>1010.6421891121954</v>
      </c>
      <c r="M49" s="15">
        <v>1014.0703016003694</v>
      </c>
      <c r="N49" s="15">
        <v>987.93200975111574</v>
      </c>
      <c r="O49" s="15">
        <v>1012.2066510309875</v>
      </c>
    </row>
    <row r="50" spans="2:15" ht="26.25">
      <c r="B50" s="159" t="s">
        <v>23</v>
      </c>
      <c r="C50" s="160"/>
      <c r="D50" s="32">
        <v>1095.9303805031448</v>
      </c>
      <c r="E50" s="32">
        <v>1155.5364168652814</v>
      </c>
      <c r="F50" s="32">
        <v>1167.0578371352217</v>
      </c>
      <c r="G50" s="32">
        <v>1129.3628392714529</v>
      </c>
      <c r="H50" s="32">
        <v>1329.0039105560741</v>
      </c>
      <c r="I50" s="32">
        <v>1050.9225128695143</v>
      </c>
      <c r="J50" s="32">
        <v>979.28040968164669</v>
      </c>
      <c r="K50" s="32">
        <v>1081.4926563758838</v>
      </c>
      <c r="L50" s="32">
        <v>1049.948260679409</v>
      </c>
      <c r="M50" s="32">
        <v>1109.3349751051078</v>
      </c>
      <c r="N50" s="32">
        <v>1129.4182235017715</v>
      </c>
      <c r="O50" s="32">
        <v>913.61441075668449</v>
      </c>
    </row>
    <row r="58" spans="2:15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2:15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2:15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2:15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2:15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2:15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2:15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4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1:14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4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4"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1:14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 spans="1:1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spans="1:14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25"/>
    </row>
    <row r="73" spans="1:14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25"/>
    </row>
    <row r="74" spans="1:1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5"/>
    </row>
  </sheetData>
  <mergeCells count="41">
    <mergeCell ref="B48:C48"/>
    <mergeCell ref="B49:C49"/>
    <mergeCell ref="B50:C50"/>
    <mergeCell ref="N44:N45"/>
    <mergeCell ref="O44:O45"/>
    <mergeCell ref="J44:J45"/>
    <mergeCell ref="K44:K45"/>
    <mergeCell ref="L44:L45"/>
    <mergeCell ref="M44:M45"/>
    <mergeCell ref="B46:C46"/>
    <mergeCell ref="B47:C47"/>
    <mergeCell ref="I44:I45"/>
    <mergeCell ref="B12:C12"/>
    <mergeCell ref="B13:C13"/>
    <mergeCell ref="B14:C14"/>
    <mergeCell ref="N7:N8"/>
    <mergeCell ref="K7:K8"/>
    <mergeCell ref="L7:L8"/>
    <mergeCell ref="M7:M8"/>
    <mergeCell ref="B9:C9"/>
    <mergeCell ref="B10:C10"/>
    <mergeCell ref="B11:C11"/>
    <mergeCell ref="B6:C8"/>
    <mergeCell ref="D6:H6"/>
    <mergeCell ref="D7:D8"/>
    <mergeCell ref="E7:E8"/>
    <mergeCell ref="F7:F8"/>
    <mergeCell ref="G7:G8"/>
    <mergeCell ref="I43:O43"/>
    <mergeCell ref="B43:C45"/>
    <mergeCell ref="D43:H43"/>
    <mergeCell ref="D44:D45"/>
    <mergeCell ref="E44:E45"/>
    <mergeCell ref="F44:F45"/>
    <mergeCell ref="G44:G45"/>
    <mergeCell ref="H44:H45"/>
    <mergeCell ref="H7:H8"/>
    <mergeCell ref="I7:I8"/>
    <mergeCell ref="J7:J8"/>
    <mergeCell ref="I6:O6"/>
    <mergeCell ref="O7:O8"/>
  </mergeCells>
  <phoneticPr fontId="3" type="noConversion"/>
  <pageMargins left="0.7" right="0.7" top="0.75" bottom="0.75" header="0.3" footer="0.3"/>
  <customProperties>
    <customPr name="_pios_id" r:id="rId1"/>
  </customPropertie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2.7.500.88128</Revision>
</Application>
</file>

<file path=customXml/itemProps1.xml><?xml version="1.0" encoding="utf-8"?>
<ds:datastoreItem xmlns:ds="http://schemas.openxmlformats.org/officeDocument/2006/customXml" ds:itemID="{D8D43775-6187-42A8-86FA-C9555AE03CC9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Gap Trends</vt:lpstr>
      <vt:lpstr>1-3. 산업(내수) - AP류</vt:lpstr>
      <vt:lpstr>내수 - (SC류)</vt:lpstr>
      <vt:lpstr>수출 - (SC류)</vt:lpstr>
      <vt:lpstr>1-4. 패키징(내수)</vt:lpstr>
      <vt:lpstr>패키징(수출)</vt:lpstr>
      <vt:lpstr>새 시트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김 재영</cp:lastModifiedBy>
  <dcterms:created xsi:type="dcterms:W3CDTF">2021-05-10T00:14:31Z</dcterms:created>
  <dcterms:modified xsi:type="dcterms:W3CDTF">2026-08-06T05:43:14Z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